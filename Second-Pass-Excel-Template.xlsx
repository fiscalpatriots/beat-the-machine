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Ledger" sheetId="2" state="visible" r:id="rId2"/>
    <sheet xmlns:r="http://schemas.openxmlformats.org/officeDocument/2006/relationships" name="Settings" sheetId="3" state="visible" r:id="rId3"/>
    <sheet xmlns:r="http://schemas.openxmlformats.org/officeDocument/2006/relationships" name="Memo" sheetId="4" state="visible" r:id="rId4"/>
    <sheet xmlns:r="http://schemas.openxmlformats.org/officeDocument/2006/relationships" name="Silence" sheetId="5" state="visible" r:id="rId5"/>
    <sheet xmlns:r="http://schemas.openxmlformats.org/officeDocument/2006/relationships" name="Reviewer log" sheetId="6" state="visible" r:id="rId6"/>
  </sheets>
  <definedNames>
    <definedName name="_xlnm.Print_Area" localSheetId="0">'Read me'!$A$1:$B$27</definedName>
    <definedName name="_xlnm._FilterDatabase" localSheetId="1" hidden="1">'Ledger'!$A$1:$I$45</definedName>
    <definedName name="_xlnm.Print_Titles" localSheetId="1">'Ledger'!$1:$1</definedName>
    <definedName name="_xlnm.Print_Area" localSheetId="1">'Ledger'!$A$1:$I$45</definedName>
    <definedName name="_xlnm.Print_Area" localSheetId="2">'Settings'!$A$1:$C$8</definedName>
    <definedName name="_xlnm._FilterDatabase" localSheetId="3" hidden="1">'Memo'!$A$1:$L$43</definedName>
    <definedName name="_xlnm.Print_Titles" localSheetId="3">'Memo'!$1:$1</definedName>
    <definedName name="_xlnm.Print_Area" localSheetId="3">'Memo'!$A$1:$L$43</definedName>
    <definedName name="_xlnm._FilterDatabase" localSheetId="4" hidden="1">'Silence'!$A$5:$G$49</definedName>
    <definedName name="_xlnm.Print_Titles" localSheetId="4">'Silence'!$5:$5</definedName>
    <definedName name="_xlnm.Print_Area" localSheetId="4">'Silence'!$A$1:$G$49</definedName>
    <definedName name="_xlnm._FilterDatabase" localSheetId="5" hidden="1">'Reviewer log'!$A$1:$N$34</definedName>
    <definedName name="_xlnm.Print_Titles" localSheetId="5">'Reviewer log'!$1:$1</definedName>
    <definedName name="_xlnm.Print_Area" localSheetId="5">'Reviewer log'!$A$1:$N$34</definedName>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
  </numFmts>
  <fonts count="9">
    <font>
      <name val="Calibri"/>
      <family val="2"/>
      <color theme="1"/>
      <sz val="11"/>
      <scheme val="minor"/>
    </font>
    <font>
      <b val="1"/>
      <color rgb="00006633"/>
      <sz val="18"/>
    </font>
    <font>
      <color rgb="00555555"/>
      <sz val="10"/>
    </font>
    <font>
      <sz val="11"/>
    </font>
    <font>
      <b val="1"/>
      <color rgb="00006633"/>
      <sz val="12"/>
    </font>
    <font>
      <b val="1"/>
      <color rgb="00FFFFFF"/>
      <sz val="11"/>
    </font>
    <font>
      <b val="1"/>
      <color rgb="00333333"/>
      <sz val="11"/>
    </font>
    <font>
      <b val="1"/>
    </font>
    <font>
      <b val="1"/>
      <color rgb="00006633"/>
      <sz val="14"/>
    </font>
  </fonts>
  <fills count="5">
    <fill>
      <patternFill/>
    </fill>
    <fill>
      <patternFill patternType="gray125"/>
    </fill>
    <fill>
      <patternFill patternType="solid">
        <fgColor rgb="00006633"/>
      </patternFill>
    </fill>
    <fill>
      <patternFill patternType="solid">
        <fgColor rgb="00FFCC33"/>
      </patternFill>
    </fill>
    <fill>
      <patternFill patternType="solid">
        <fgColor rgb="00FFF6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0" fillId="0" borderId="1" applyAlignment="1" pivotButton="0" quotePrefix="0" xfId="0">
      <alignment horizontal="center"/>
    </xf>
    <xf numFmtId="0" fontId="0" fillId="0" borderId="1" pivotButton="0" quotePrefix="0" xfId="0"/>
    <xf numFmtId="164" fontId="0" fillId="0" borderId="1" pivotButton="0" quotePrefix="0" xfId="0"/>
    <xf numFmtId="165" fontId="0" fillId="0" borderId="1" pivotButton="0" quotePrefix="0" xfId="0"/>
    <xf numFmtId="0" fontId="7" fillId="4" borderId="1" applyAlignment="1" pivotButton="0" quotePrefix="0" xfId="0">
      <alignment horizontal="center"/>
    </xf>
    <xf numFmtId="0" fontId="7" fillId="0" borderId="1" pivotButton="0" quotePrefix="0" xfId="0"/>
    <xf numFmtId="164" fontId="0" fillId="4" borderId="1" pivotButton="0" quotePrefix="0" xfId="0"/>
    <xf numFmtId="0" fontId="0" fillId="0" borderId="1" applyAlignment="1" pivotButton="0" quotePrefix="0" xfId="0">
      <alignment vertical="top" wrapText="1"/>
    </xf>
    <xf numFmtId="0" fontId="0" fillId="4" borderId="1" pivotButton="0" quotePrefix="0" xfId="0"/>
    <xf numFmtId="0" fontId="0" fillId="0" borderId="1" applyAlignment="1" pivotButton="0" quotePrefix="0" xfId="0">
      <alignment horizontal="center" vertical="top"/>
    </xf>
    <xf numFmtId="166" fontId="0" fillId="0" borderId="1" applyAlignment="1" pivotButton="0" quotePrefix="0" xfId="0">
      <alignment horizontal="center" vertical="top"/>
    </xf>
    <xf numFmtId="0" fontId="7" fillId="4" borderId="1" applyAlignment="1" pivotButton="0" quotePrefix="0" xfId="0">
      <alignment horizontal="center" vertical="top"/>
    </xf>
    <xf numFmtId="0" fontId="8" fillId="0" borderId="0" pivotButton="0" quotePrefix="0" xfId="0"/>
    <xf numFmtId="0" fontId="7" fillId="0" borderId="0" pivotButton="0" quotePrefix="0" xfId="0"/>
    <xf numFmtId="164" fontId="0" fillId="0" borderId="1" applyAlignment="1" pivotButton="0" quotePrefix="0" xfId="0">
      <alignment horizontal="center"/>
    </xf>
    <xf numFmtId="165" fontId="0" fillId="0" borderId="1" applyAlignment="1" pivotButton="0" quotePrefix="0" xfId="0">
      <alignment horizontal="center"/>
    </xf>
    <xf numFmtId="0" fontId="0" fillId="4" borderId="1"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7"/>
  <sheetViews>
    <sheetView showGridLines="0" workbookViewId="0">
      <selection activeCell="A1" sqref="A1"/>
    </sheetView>
  </sheetViews>
  <sheetFormatPr baseColWidth="8" defaultRowHeight="15"/>
  <cols>
    <col width="4" customWidth="1" min="1" max="1"/>
    <col width="112" customWidth="1" min="2" max="2"/>
  </cols>
  <sheetData>
    <row r="1" ht="26" customHeight="1">
      <c r="B1" s="1" t="inlineStr">
        <is>
          <t>Second Pass: the Excel edition</t>
        </is>
      </c>
    </row>
    <row r="2">
      <c r="B2" s="2" t="inlineStr">
        <is>
          <t>Version 1.0, 13 September 2026. Built by Khaled Alkurd.</t>
        </is>
      </c>
    </row>
    <row r="3">
      <c r="B3" s="2" t="inlineStr">
        <is>
          <t>https://fiscalpatriots.github.io/beat-the-machine/</t>
        </is>
      </c>
    </row>
    <row r="4">
      <c r="B4" s="3" t="inlineStr"/>
    </row>
    <row r="5" ht="22" customHeight="1">
      <c r="B5" s="4" t="inlineStr">
        <is>
          <t>What this workbook does</t>
        </is>
      </c>
    </row>
    <row r="6" ht="60" customHeight="1">
      <c r="B6" s="3" t="inlineStr">
        <is>
          <t>It runs the two checks a spreadsheet can run honestly. The threshold check recomputes the change and the percent on every account from the two balances and says which lines owe commentary under the rule on the Settings sheet. The silence check names every account that owes commentary and carries no sentence in the memo. The reviewer log is the evidence the close file keeps.</t>
        </is>
      </c>
    </row>
    <row r="7" ht="60" customHeight="1">
      <c r="B7" s="3" t="inlineStr">
        <is>
          <t>It does not read your sentences. Nothing in here parses English, so arithmetic and direction are checked by you: the Memo sheet puts the figure the sentence states beside the figure the ledger carries, and beside the direction the balance actually moved, and you decide whether they agree. The comparison is arithmetic the workbook does; the reading is yours.</t>
        </is>
      </c>
    </row>
    <row r="8" ht="45" customHeight="1">
      <c r="B8" s="3" t="inlineStr">
        <is>
          <t>Judgment stays where the protocol puts it. Whether a driver is supported by a document on file, and whether it belongs to the period the sentence covers, are questions for the reviewer and they never appear here as a verdict.</t>
        </is>
      </c>
    </row>
    <row r="9">
      <c r="B9" s="3" t="inlineStr"/>
    </row>
    <row r="10" ht="22" customHeight="1">
      <c r="B10" s="4" t="inlineStr">
        <is>
          <t>How to use it, five steps</t>
        </is>
      </c>
    </row>
    <row r="11" ht="30" customHeight="1">
      <c r="B11" s="3" t="inlineStr">
        <is>
          <t>1. Open Settings and set the dollar floor, the percent floor, the rule, the close period and the memo version for the close you are working.</t>
        </is>
      </c>
    </row>
    <row r="12" ht="45" customHeight="1">
      <c r="B12" s="3" t="inlineStr">
        <is>
          <t>2. Replace the fourteen Halyard rows on Ledger with your own accounts, prior and current balances. Thirty blank rows below carry the same formulas. Change, percent and the two threshold legs compute themselves.</t>
        </is>
      </c>
    </row>
    <row r="13" ht="45" customHeight="1">
      <c r="B13" s="3" t="inlineStr">
        <is>
          <t>3. Paste the memo on the Memo sheet, one sentence per row. Pick the account from the dropdown, type the figure the sentence states, pick which ledger figure it claims to be, and pick the direction the sentence states. Percent figures go in as points, so 7.1 for 7.1 percent.</t>
        </is>
      </c>
    </row>
    <row r="14" ht="75" customHeight="1">
      <c r="B14" s="3" t="inlineStr">
        <is>
          <t>4. Read the Result column. FAIL means a figure or a direction does not agree with the ledger and the sentence goes back to the preparer. INFO means the account owes no commentary, and the sentence is still checked because a sentence that owes nothing can still say something false. REVIEW means the mechanical checks cleared it and it is yours to judge. Then read Silence, which lists every account that owes an explanation and has none written.</t>
        </is>
      </c>
    </row>
    <row r="15" ht="30" customHeight="1">
      <c r="B15" s="3" t="inlineStr">
        <is>
          <t>5. Work every FAIL, every silent line and every REVIEW into the Reviewer log, sign it with your name and the date, and file it with the memo version it covers.</t>
        </is>
      </c>
    </row>
    <row r="16">
      <c r="B16" s="3" t="inlineStr"/>
    </row>
    <row r="17" ht="22" customHeight="1">
      <c r="B17" s="4" t="inlineStr">
        <is>
          <t>Privacy</t>
        </is>
      </c>
    </row>
    <row r="18" ht="45" customHeight="1">
      <c r="B18" s="3" t="inlineStr">
        <is>
          <t>Nothing leaves this file. There are no links to other workbooks, no web queries and no macros. The workbook computes with Excel's own formulas on the numbers you type, and closing the file is the whole retention policy.</t>
        </is>
      </c>
    </row>
    <row r="19">
      <c r="B19" s="3" t="inlineStr"/>
    </row>
    <row r="20" ht="22" customHeight="1">
      <c r="B20" s="4" t="inlineStr">
        <is>
          <t>What is prefilled</t>
        </is>
      </c>
    </row>
    <row r="21" ht="45" customHeight="1">
      <c r="B21" s="3" t="inlineStr">
        <is>
          <t>The Halyard June 2026 training case: fourteen accounts on Ledger, the twelve drafted sentences on Memo, and the three example rows on Reviewer log. Delete them once you have seen how the sheet behaves, or keep the file as the worked example and start a copy.</t>
        </is>
      </c>
    </row>
    <row r="22">
      <c r="B22" s="3" t="inlineStr"/>
    </row>
    <row r="23" ht="22" customHeight="1">
      <c r="B23" s="4" t="inlineStr">
        <is>
          <t>One thing to know about formulas</t>
        </is>
      </c>
    </row>
    <row r="24" ht="45" customHeight="1">
      <c r="B24" s="3" t="inlineStr">
        <is>
          <t>This file was written by a script rather than by Excel, so the formula cells hold formulas but no cached answers. Excel computes them the moment you open the file, and every figure below the headers appears then. If a cell looks empty on first open, press F9.</t>
        </is>
      </c>
    </row>
    <row r="25">
      <c r="B25" s="3" t="inlineStr"/>
    </row>
    <row r="26" ht="22" customHeight="1">
      <c r="B26" s="4" t="inlineStr">
        <is>
          <t>The protocol this belongs to</t>
        </is>
      </c>
    </row>
    <row r="27" ht="45" customHeight="1">
      <c r="B27" s="3" t="inlineStr">
        <is>
          <t>PROTOCOL.md in this repository is the one page a reviewer works from, EVIDENCE-LOG-TEMPLATE.csv is the log, and the browser version of the same checks is at https://fiscalpatriots.github.io/beat-the-machine/checker.html.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I45"/>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15" customWidth="1" min="3" max="3"/>
    <col width="15" customWidth="1" min="4" max="4"/>
    <col width="15" customWidth="1" min="5" max="5"/>
    <col width="11" customWidth="1" min="6" max="6"/>
    <col width="13" customWidth="1" min="7" max="7"/>
    <col width="13" customWidth="1" min="8" max="8"/>
    <col width="15" customWidth="1" min="9" max="9"/>
  </cols>
  <sheetData>
    <row r="1" ht="32" customHeight="1">
      <c r="A1" s="5" t="inlineStr">
        <is>
          <t>Account</t>
        </is>
      </c>
      <c r="B1" s="5" t="inlineStr">
        <is>
          <t>Name</t>
        </is>
      </c>
      <c r="C1" s="5" t="inlineStr">
        <is>
          <t>Prior</t>
        </is>
      </c>
      <c r="D1" s="5" t="inlineStr">
        <is>
          <t>Current</t>
        </is>
      </c>
      <c r="E1" s="5" t="inlineStr">
        <is>
          <t>Change</t>
        </is>
      </c>
      <c r="F1" s="5" t="inlineStr">
        <is>
          <t>Percent</t>
        </is>
      </c>
      <c r="G1" s="5" t="inlineStr">
        <is>
          <t>Clears dollar leg</t>
        </is>
      </c>
      <c r="H1" s="5" t="inlineStr">
        <is>
          <t>Clears percent leg</t>
        </is>
      </c>
      <c r="I1" s="6" t="inlineStr">
        <is>
          <t>Owes commentary</t>
        </is>
      </c>
    </row>
    <row r="2">
      <c r="A2" s="7" t="n">
        <v>4000</v>
      </c>
      <c r="B2" s="8" t="inlineStr">
        <is>
          <t>Product revenue, distribution</t>
        </is>
      </c>
      <c r="C2" s="9" t="n">
        <v>5240000</v>
      </c>
      <c r="D2" s="9" t="n">
        <v>5612000</v>
      </c>
      <c r="E2" s="9">
        <f>IF(OR($C2="",$D2=""),"",$D2-$C2)</f>
        <v/>
      </c>
      <c r="F2" s="10">
        <f>IF(OR($C2="",$D2="",$C2=0),"",($D2-$C2)/ABS($C2))</f>
        <v/>
      </c>
      <c r="G2" s="7">
        <f>IF($E2="","",IF(ABS($E2)&gt;Settings!$B$2,"yes","no"))</f>
        <v/>
      </c>
      <c r="H2" s="7">
        <f>IF($F2="","",IF(ABS($F2)&gt;=Settings!$B$3/100,"yes","no"))</f>
        <v/>
      </c>
      <c r="I2" s="11">
        <f>IF($E2="","",IF(LOWER(Settings!$B$4)="both",IF(AND($G2="yes",$H2="yes"),"yes","no"),IF(OR($G2="yes",$H2="yes"),"yes","no")))</f>
        <v/>
      </c>
    </row>
    <row r="3">
      <c r="A3" s="7" t="n">
        <v>4100</v>
      </c>
      <c r="B3" s="8" t="inlineStr">
        <is>
          <t>Service revenue, equipment maintenance</t>
        </is>
      </c>
      <c r="C3" s="9" t="n">
        <v>812000</v>
      </c>
      <c r="D3" s="9" t="n">
        <v>1041000</v>
      </c>
      <c r="E3" s="9">
        <f>IF(OR($C3="",$D3=""),"",$D3-$C3)</f>
        <v/>
      </c>
      <c r="F3" s="10">
        <f>IF(OR($C3="",$D3="",$C3=0),"",($D3-$C3)/ABS($C3))</f>
        <v/>
      </c>
      <c r="G3" s="7">
        <f>IF($E3="","",IF(ABS($E3)&gt;Settings!$B$2,"yes","no"))</f>
        <v/>
      </c>
      <c r="H3" s="7">
        <f>IF($F3="","",IF(ABS($F3)&gt;=Settings!$B$3/100,"yes","no"))</f>
        <v/>
      </c>
      <c r="I3" s="11">
        <f>IF($E3="","",IF(LOWER(Settings!$B$4)="both",IF(AND($G3="yes",$H3="yes"),"yes","no"),IF(OR($G3="yes",$H3="yes"),"yes","no")))</f>
        <v/>
      </c>
    </row>
    <row r="4">
      <c r="A4" s="7" t="n">
        <v>4200</v>
      </c>
      <c r="B4" s="8" t="inlineStr">
        <is>
          <t>Freight billed to customers</t>
        </is>
      </c>
      <c r="C4" s="9" t="n">
        <v>186000</v>
      </c>
      <c r="D4" s="9" t="n">
        <v>121000</v>
      </c>
      <c r="E4" s="9">
        <f>IF(OR($C4="",$D4=""),"",$D4-$C4)</f>
        <v/>
      </c>
      <c r="F4" s="10">
        <f>IF(OR($C4="",$D4="",$C4=0),"",($D4-$C4)/ABS($C4))</f>
        <v/>
      </c>
      <c r="G4" s="7">
        <f>IF($E4="","",IF(ABS($E4)&gt;Settings!$B$2,"yes","no"))</f>
        <v/>
      </c>
      <c r="H4" s="7">
        <f>IF($F4="","",IF(ABS($F4)&gt;=Settings!$B$3/100,"yes","no"))</f>
        <v/>
      </c>
      <c r="I4" s="11">
        <f>IF($E4="","",IF(LOWER(Settings!$B$4)="both",IF(AND($G4="yes",$H4="yes"),"yes","no"),IF(OR($G4="yes",$H4="yes"),"yes","no")))</f>
        <v/>
      </c>
    </row>
    <row r="5">
      <c r="A5" s="7" t="n">
        <v>5000</v>
      </c>
      <c r="B5" s="8" t="inlineStr">
        <is>
          <t>Cost of product sold</t>
        </is>
      </c>
      <c r="C5" s="9" t="n">
        <v>3930000</v>
      </c>
      <c r="D5" s="9" t="n">
        <v>4278000</v>
      </c>
      <c r="E5" s="9">
        <f>IF(OR($C5="",$D5=""),"",$D5-$C5)</f>
        <v/>
      </c>
      <c r="F5" s="10">
        <f>IF(OR($C5="",$D5="",$C5=0),"",($D5-$C5)/ABS($C5))</f>
        <v/>
      </c>
      <c r="G5" s="7">
        <f>IF($E5="","",IF(ABS($E5)&gt;Settings!$B$2,"yes","no"))</f>
        <v/>
      </c>
      <c r="H5" s="7">
        <f>IF($F5="","",IF(ABS($F5)&gt;=Settings!$B$3/100,"yes","no"))</f>
        <v/>
      </c>
      <c r="I5" s="11">
        <f>IF($E5="","",IF(LOWER(Settings!$B$4)="both",IF(AND($G5="yes",$H5="yes"),"yes","no"),IF(OR($G5="yes",$H5="yes"),"yes","no")))</f>
        <v/>
      </c>
    </row>
    <row r="6">
      <c r="A6" s="7" t="n">
        <v>5100</v>
      </c>
      <c r="B6" s="8" t="inlineStr">
        <is>
          <t>Inbound freight</t>
        </is>
      </c>
      <c r="C6" s="9" t="n">
        <v>214000</v>
      </c>
      <c r="D6" s="9" t="n">
        <v>287800</v>
      </c>
      <c r="E6" s="9">
        <f>IF(OR($C6="",$D6=""),"",$D6-$C6)</f>
        <v/>
      </c>
      <c r="F6" s="10">
        <f>IF(OR($C6="",$D6="",$C6=0),"",($D6-$C6)/ABS($C6))</f>
        <v/>
      </c>
      <c r="G6" s="7">
        <f>IF($E6="","",IF(ABS($E6)&gt;Settings!$B$2,"yes","no"))</f>
        <v/>
      </c>
      <c r="H6" s="7">
        <f>IF($F6="","",IF(ABS($F6)&gt;=Settings!$B$3/100,"yes","no"))</f>
        <v/>
      </c>
      <c r="I6" s="11">
        <f>IF($E6="","",IF(LOWER(Settings!$B$4)="both",IF(AND($G6="yes",$H6="yes"),"yes","no"),IF(OR($G6="yes",$H6="yes"),"yes","no")))</f>
        <v/>
      </c>
    </row>
    <row r="7">
      <c r="A7" s="7" t="n">
        <v>6000</v>
      </c>
      <c r="B7" s="8" t="inlineStr">
        <is>
          <t>Warehouse wages</t>
        </is>
      </c>
      <c r="C7" s="9" t="n">
        <v>630000</v>
      </c>
      <c r="D7" s="9" t="n">
        <v>702500</v>
      </c>
      <c r="E7" s="9">
        <f>IF(OR($C7="",$D7=""),"",$D7-$C7)</f>
        <v/>
      </c>
      <c r="F7" s="10">
        <f>IF(OR($C7="",$D7="",$C7=0),"",($D7-$C7)/ABS($C7))</f>
        <v/>
      </c>
      <c r="G7" s="7">
        <f>IF($E7="","",IF(ABS($E7)&gt;Settings!$B$2,"yes","no"))</f>
        <v/>
      </c>
      <c r="H7" s="7">
        <f>IF($F7="","",IF(ABS($F7)&gt;=Settings!$B$3/100,"yes","no"))</f>
        <v/>
      </c>
      <c r="I7" s="11">
        <f>IF($E7="","",IF(LOWER(Settings!$B$4)="both",IF(AND($G7="yes",$H7="yes"),"yes","no"),IF(OR($G7="yes",$H7="yes"),"yes","no")))</f>
        <v/>
      </c>
    </row>
    <row r="8">
      <c r="A8" s="7" t="n">
        <v>6100</v>
      </c>
      <c r="B8" s="8" t="inlineStr">
        <is>
          <t>Fleet fuel</t>
        </is>
      </c>
      <c r="C8" s="9" t="n">
        <v>96400</v>
      </c>
      <c r="D8" s="9" t="n">
        <v>91200</v>
      </c>
      <c r="E8" s="9">
        <f>IF(OR($C8="",$D8=""),"",$D8-$C8)</f>
        <v/>
      </c>
      <c r="F8" s="10">
        <f>IF(OR($C8="",$D8="",$C8=0),"",($D8-$C8)/ABS($C8))</f>
        <v/>
      </c>
      <c r="G8" s="7">
        <f>IF($E8="","",IF(ABS($E8)&gt;Settings!$B$2,"yes","no"))</f>
        <v/>
      </c>
      <c r="H8" s="7">
        <f>IF($F8="","",IF(ABS($F8)&gt;=Settings!$B$3/100,"yes","no"))</f>
        <v/>
      </c>
      <c r="I8" s="11">
        <f>IF($E8="","",IF(LOWER(Settings!$B$4)="both",IF(AND($G8="yes",$H8="yes"),"yes","no"),IF(OR($G8="yes",$H8="yes"),"yes","no")))</f>
        <v/>
      </c>
    </row>
    <row r="9">
      <c r="A9" s="7" t="n">
        <v>6200</v>
      </c>
      <c r="B9" s="8" t="inlineStr">
        <is>
          <t>Repairs and maintenance, depots</t>
        </is>
      </c>
      <c r="C9" s="9" t="n">
        <v>41000</v>
      </c>
      <c r="D9" s="9" t="n">
        <v>118600</v>
      </c>
      <c r="E9" s="9">
        <f>IF(OR($C9="",$D9=""),"",$D9-$C9)</f>
        <v/>
      </c>
      <c r="F9" s="10">
        <f>IF(OR($C9="",$D9="",$C9=0),"",($D9-$C9)/ABS($C9))</f>
        <v/>
      </c>
      <c r="G9" s="7">
        <f>IF($E9="","",IF(ABS($E9)&gt;Settings!$B$2,"yes","no"))</f>
        <v/>
      </c>
      <c r="H9" s="7">
        <f>IF($F9="","",IF(ABS($F9)&gt;=Settings!$B$3/100,"yes","no"))</f>
        <v/>
      </c>
      <c r="I9" s="11">
        <f>IF($E9="","",IF(LOWER(Settings!$B$4)="both",IF(AND($G9="yes",$H9="yes"),"yes","no"),IF(OR($G9="yes",$H9="yes"),"yes","no")))</f>
        <v/>
      </c>
    </row>
    <row r="10">
      <c r="A10" s="7" t="n">
        <v>6300</v>
      </c>
      <c r="B10" s="8" t="inlineStr">
        <is>
          <t>Software subscriptions</t>
        </is>
      </c>
      <c r="C10" s="9" t="n">
        <v>28500</v>
      </c>
      <c r="D10" s="9" t="n">
        <v>30100</v>
      </c>
      <c r="E10" s="9">
        <f>IF(OR($C10="",$D10=""),"",$D10-$C10)</f>
        <v/>
      </c>
      <c r="F10" s="10">
        <f>IF(OR($C10="",$D10="",$C10=0),"",($D10-$C10)/ABS($C10))</f>
        <v/>
      </c>
      <c r="G10" s="7">
        <f>IF($E10="","",IF(ABS($E10)&gt;Settings!$B$2,"yes","no"))</f>
        <v/>
      </c>
      <c r="H10" s="7">
        <f>IF($F10="","",IF(ABS($F10)&gt;=Settings!$B$3/100,"yes","no"))</f>
        <v/>
      </c>
      <c r="I10" s="11">
        <f>IF($E10="","",IF(LOWER(Settings!$B$4)="both",IF(AND($G10="yes",$H10="yes"),"yes","no"),IF(OR($G10="yes",$H10="yes"),"yes","no")))</f>
        <v/>
      </c>
    </row>
    <row r="11">
      <c r="A11" s="7" t="n">
        <v>6400</v>
      </c>
      <c r="B11" s="8" t="inlineStr">
        <is>
          <t>Bad debt expense</t>
        </is>
      </c>
      <c r="C11" s="9" t="n">
        <v>15000</v>
      </c>
      <c r="D11" s="9" t="n">
        <v>62000</v>
      </c>
      <c r="E11" s="9">
        <f>IF(OR($C11="",$D11=""),"",$D11-$C11)</f>
        <v/>
      </c>
      <c r="F11" s="10">
        <f>IF(OR($C11="",$D11="",$C11=0),"",($D11-$C11)/ABS($C11))</f>
        <v/>
      </c>
      <c r="G11" s="7">
        <f>IF($E11="","",IF(ABS($E11)&gt;Settings!$B$2,"yes","no"))</f>
        <v/>
      </c>
      <c r="H11" s="7">
        <f>IF($F11="","",IF(ABS($F11)&gt;=Settings!$B$3/100,"yes","no"))</f>
        <v/>
      </c>
      <c r="I11" s="11">
        <f>IF($E11="","",IF(LOWER(Settings!$B$4)="both",IF(AND($G11="yes",$H11="yes"),"yes","no"),IF(OR($G11="yes",$H11="yes"),"yes","no")))</f>
        <v/>
      </c>
    </row>
    <row r="12">
      <c r="A12" s="7" t="n">
        <v>6500</v>
      </c>
      <c r="B12" s="8" t="inlineStr">
        <is>
          <t>Professional fees</t>
        </is>
      </c>
      <c r="C12" s="9" t="n">
        <v>55000</v>
      </c>
      <c r="D12" s="9" t="n">
        <v>47500</v>
      </c>
      <c r="E12" s="9">
        <f>IF(OR($C12="",$D12=""),"",$D12-$C12)</f>
        <v/>
      </c>
      <c r="F12" s="10">
        <f>IF(OR($C12="",$D12="",$C12=0),"",($D12-$C12)/ABS($C12))</f>
        <v/>
      </c>
      <c r="G12" s="7">
        <f>IF($E12="","",IF(ABS($E12)&gt;Settings!$B$2,"yes","no"))</f>
        <v/>
      </c>
      <c r="H12" s="7">
        <f>IF($F12="","",IF(ABS($F12)&gt;=Settings!$B$3/100,"yes","no"))</f>
        <v/>
      </c>
      <c r="I12" s="11">
        <f>IF($E12="","",IF(LOWER(Settings!$B$4)="both",IF(AND($G12="yes",$H12="yes"),"yes","no"),IF(OR($G12="yes",$H12="yes"),"yes","no")))</f>
        <v/>
      </c>
    </row>
    <row r="13">
      <c r="A13" s="7" t="n">
        <v>7000</v>
      </c>
      <c r="B13" s="8" t="inlineStr">
        <is>
          <t>Depreciation</t>
        </is>
      </c>
      <c r="C13" s="9" t="n">
        <v>128000</v>
      </c>
      <c r="D13" s="9" t="n">
        <v>128000</v>
      </c>
      <c r="E13" s="9">
        <f>IF(OR($C13="",$D13=""),"",$D13-$C13)</f>
        <v/>
      </c>
      <c r="F13" s="10">
        <f>IF(OR($C13="",$D13="",$C13=0),"",($D13-$C13)/ABS($C13))</f>
        <v/>
      </c>
      <c r="G13" s="7">
        <f>IF($E13="","",IF(ABS($E13)&gt;Settings!$B$2,"yes","no"))</f>
        <v/>
      </c>
      <c r="H13" s="7">
        <f>IF($F13="","",IF(ABS($F13)&gt;=Settings!$B$3/100,"yes","no"))</f>
        <v/>
      </c>
      <c r="I13" s="11">
        <f>IF($E13="","",IF(LOWER(Settings!$B$4)="both",IF(AND($G13="yes",$H13="yes"),"yes","no"),IF(OR($G13="yes",$H13="yes"),"yes","no")))</f>
        <v/>
      </c>
    </row>
    <row r="14">
      <c r="A14" s="7" t="n">
        <v>7100</v>
      </c>
      <c r="B14" s="8" t="inlineStr">
        <is>
          <t>Interest expense</t>
        </is>
      </c>
      <c r="C14" s="9" t="n">
        <v>61200</v>
      </c>
      <c r="D14" s="9" t="n">
        <v>92400</v>
      </c>
      <c r="E14" s="9">
        <f>IF(OR($C14="",$D14=""),"",$D14-$C14)</f>
        <v/>
      </c>
      <c r="F14" s="10">
        <f>IF(OR($C14="",$D14="",$C14=0),"",($D14-$C14)/ABS($C14))</f>
        <v/>
      </c>
      <c r="G14" s="7">
        <f>IF($E14="","",IF(ABS($E14)&gt;Settings!$B$2,"yes","no"))</f>
        <v/>
      </c>
      <c r="H14" s="7">
        <f>IF($F14="","",IF(ABS($F14)&gt;=Settings!$B$3/100,"yes","no"))</f>
        <v/>
      </c>
      <c r="I14" s="11">
        <f>IF($E14="","",IF(LOWER(Settings!$B$4)="both",IF(AND($G14="yes",$H14="yes"),"yes","no"),IF(OR($G14="yes",$H14="yes"),"yes","no")))</f>
        <v/>
      </c>
    </row>
    <row r="15">
      <c r="A15" s="7" t="n">
        <v>7400</v>
      </c>
      <c r="B15" s="8" t="inlineStr">
        <is>
          <t>Inventory shrink adjustment</t>
        </is>
      </c>
      <c r="C15" s="9" t="n">
        <v>6400</v>
      </c>
      <c r="D15" s="9" t="n">
        <v>8900</v>
      </c>
      <c r="E15" s="9">
        <f>IF(OR($C15="",$D15=""),"",$D15-$C15)</f>
        <v/>
      </c>
      <c r="F15" s="10">
        <f>IF(OR($C15="",$D15="",$C15=0),"",($D15-$C15)/ABS($C15))</f>
        <v/>
      </c>
      <c r="G15" s="7">
        <f>IF($E15="","",IF(ABS($E15)&gt;Settings!$B$2,"yes","no"))</f>
        <v/>
      </c>
      <c r="H15" s="7">
        <f>IF($F15="","",IF(ABS($F15)&gt;=Settings!$B$3/100,"yes","no"))</f>
        <v/>
      </c>
      <c r="I15" s="11">
        <f>IF($E15="","",IF(LOWER(Settings!$B$4)="both",IF(AND($G15="yes",$H15="yes"),"yes","no"),IF(OR($G15="yes",$H15="yes"),"yes","no")))</f>
        <v/>
      </c>
    </row>
    <row r="16">
      <c r="A16" s="7" t="n"/>
      <c r="B16" s="8" t="n"/>
      <c r="C16" s="9" t="n"/>
      <c r="D16" s="9" t="n"/>
      <c r="E16" s="9">
        <f>IF(OR($C16="",$D16=""),"",$D16-$C16)</f>
        <v/>
      </c>
      <c r="F16" s="10">
        <f>IF(OR($C16="",$D16="",$C16=0),"",($D16-$C16)/ABS($C16))</f>
        <v/>
      </c>
      <c r="G16" s="7">
        <f>IF($E16="","",IF(ABS($E16)&gt;Settings!$B$2,"yes","no"))</f>
        <v/>
      </c>
      <c r="H16" s="7">
        <f>IF($F16="","",IF(ABS($F16)&gt;=Settings!$B$3/100,"yes","no"))</f>
        <v/>
      </c>
      <c r="I16" s="11">
        <f>IF($E16="","",IF(LOWER(Settings!$B$4)="both",IF(AND($G16="yes",$H16="yes"),"yes","no"),IF(OR($G16="yes",$H16="yes"),"yes","no")))</f>
        <v/>
      </c>
    </row>
    <row r="17">
      <c r="A17" s="7" t="n"/>
      <c r="B17" s="8" t="n"/>
      <c r="C17" s="9" t="n"/>
      <c r="D17" s="9" t="n"/>
      <c r="E17" s="9">
        <f>IF(OR($C17="",$D17=""),"",$D17-$C17)</f>
        <v/>
      </c>
      <c r="F17" s="10">
        <f>IF(OR($C17="",$D17="",$C17=0),"",($D17-$C17)/ABS($C17))</f>
        <v/>
      </c>
      <c r="G17" s="7">
        <f>IF($E17="","",IF(ABS($E17)&gt;Settings!$B$2,"yes","no"))</f>
        <v/>
      </c>
      <c r="H17" s="7">
        <f>IF($F17="","",IF(ABS($F17)&gt;=Settings!$B$3/100,"yes","no"))</f>
        <v/>
      </c>
      <c r="I17" s="11">
        <f>IF($E17="","",IF(LOWER(Settings!$B$4)="both",IF(AND($G17="yes",$H17="yes"),"yes","no"),IF(OR($G17="yes",$H17="yes"),"yes","no")))</f>
        <v/>
      </c>
    </row>
    <row r="18">
      <c r="A18" s="7" t="n"/>
      <c r="B18" s="8" t="n"/>
      <c r="C18" s="9" t="n"/>
      <c r="D18" s="9" t="n"/>
      <c r="E18" s="9">
        <f>IF(OR($C18="",$D18=""),"",$D18-$C18)</f>
        <v/>
      </c>
      <c r="F18" s="10">
        <f>IF(OR($C18="",$D18="",$C18=0),"",($D18-$C18)/ABS($C18))</f>
        <v/>
      </c>
      <c r="G18" s="7">
        <f>IF($E18="","",IF(ABS($E18)&gt;Settings!$B$2,"yes","no"))</f>
        <v/>
      </c>
      <c r="H18" s="7">
        <f>IF($F18="","",IF(ABS($F18)&gt;=Settings!$B$3/100,"yes","no"))</f>
        <v/>
      </c>
      <c r="I18" s="11">
        <f>IF($E18="","",IF(LOWER(Settings!$B$4)="both",IF(AND($G18="yes",$H18="yes"),"yes","no"),IF(OR($G18="yes",$H18="yes"),"yes","no")))</f>
        <v/>
      </c>
    </row>
    <row r="19">
      <c r="A19" s="7" t="n"/>
      <c r="B19" s="8" t="n"/>
      <c r="C19" s="9" t="n"/>
      <c r="D19" s="9" t="n"/>
      <c r="E19" s="9">
        <f>IF(OR($C19="",$D19=""),"",$D19-$C19)</f>
        <v/>
      </c>
      <c r="F19" s="10">
        <f>IF(OR($C19="",$D19="",$C19=0),"",($D19-$C19)/ABS($C19))</f>
        <v/>
      </c>
      <c r="G19" s="7">
        <f>IF($E19="","",IF(ABS($E19)&gt;Settings!$B$2,"yes","no"))</f>
        <v/>
      </c>
      <c r="H19" s="7">
        <f>IF($F19="","",IF(ABS($F19)&gt;=Settings!$B$3/100,"yes","no"))</f>
        <v/>
      </c>
      <c r="I19" s="11">
        <f>IF($E19="","",IF(LOWER(Settings!$B$4)="both",IF(AND($G19="yes",$H19="yes"),"yes","no"),IF(OR($G19="yes",$H19="yes"),"yes","no")))</f>
        <v/>
      </c>
    </row>
    <row r="20">
      <c r="A20" s="7" t="n"/>
      <c r="B20" s="8" t="n"/>
      <c r="C20" s="9" t="n"/>
      <c r="D20" s="9" t="n"/>
      <c r="E20" s="9">
        <f>IF(OR($C20="",$D20=""),"",$D20-$C20)</f>
        <v/>
      </c>
      <c r="F20" s="10">
        <f>IF(OR($C20="",$D20="",$C20=0),"",($D20-$C20)/ABS($C20))</f>
        <v/>
      </c>
      <c r="G20" s="7">
        <f>IF($E20="","",IF(ABS($E20)&gt;Settings!$B$2,"yes","no"))</f>
        <v/>
      </c>
      <c r="H20" s="7">
        <f>IF($F20="","",IF(ABS($F20)&gt;=Settings!$B$3/100,"yes","no"))</f>
        <v/>
      </c>
      <c r="I20" s="11">
        <f>IF($E20="","",IF(LOWER(Settings!$B$4)="both",IF(AND($G20="yes",$H20="yes"),"yes","no"),IF(OR($G20="yes",$H20="yes"),"yes","no")))</f>
        <v/>
      </c>
    </row>
    <row r="21">
      <c r="A21" s="7" t="n"/>
      <c r="B21" s="8" t="n"/>
      <c r="C21" s="9" t="n"/>
      <c r="D21" s="9" t="n"/>
      <c r="E21" s="9">
        <f>IF(OR($C21="",$D21=""),"",$D21-$C21)</f>
        <v/>
      </c>
      <c r="F21" s="10">
        <f>IF(OR($C21="",$D21="",$C21=0),"",($D21-$C21)/ABS($C21))</f>
        <v/>
      </c>
      <c r="G21" s="7">
        <f>IF($E21="","",IF(ABS($E21)&gt;Settings!$B$2,"yes","no"))</f>
        <v/>
      </c>
      <c r="H21" s="7">
        <f>IF($F21="","",IF(ABS($F21)&gt;=Settings!$B$3/100,"yes","no"))</f>
        <v/>
      </c>
      <c r="I21" s="11">
        <f>IF($E21="","",IF(LOWER(Settings!$B$4)="both",IF(AND($G21="yes",$H21="yes"),"yes","no"),IF(OR($G21="yes",$H21="yes"),"yes","no")))</f>
        <v/>
      </c>
    </row>
    <row r="22">
      <c r="A22" s="7" t="n"/>
      <c r="B22" s="8" t="n"/>
      <c r="C22" s="9" t="n"/>
      <c r="D22" s="9" t="n"/>
      <c r="E22" s="9">
        <f>IF(OR($C22="",$D22=""),"",$D22-$C22)</f>
        <v/>
      </c>
      <c r="F22" s="10">
        <f>IF(OR($C22="",$D22="",$C22=0),"",($D22-$C22)/ABS($C22))</f>
        <v/>
      </c>
      <c r="G22" s="7">
        <f>IF($E22="","",IF(ABS($E22)&gt;Settings!$B$2,"yes","no"))</f>
        <v/>
      </c>
      <c r="H22" s="7">
        <f>IF($F22="","",IF(ABS($F22)&gt;=Settings!$B$3/100,"yes","no"))</f>
        <v/>
      </c>
      <c r="I22" s="11">
        <f>IF($E22="","",IF(LOWER(Settings!$B$4)="both",IF(AND($G22="yes",$H22="yes"),"yes","no"),IF(OR($G22="yes",$H22="yes"),"yes","no")))</f>
        <v/>
      </c>
    </row>
    <row r="23">
      <c r="A23" s="7" t="n"/>
      <c r="B23" s="8" t="n"/>
      <c r="C23" s="9" t="n"/>
      <c r="D23" s="9" t="n"/>
      <c r="E23" s="9">
        <f>IF(OR($C23="",$D23=""),"",$D23-$C23)</f>
        <v/>
      </c>
      <c r="F23" s="10">
        <f>IF(OR($C23="",$D23="",$C23=0),"",($D23-$C23)/ABS($C23))</f>
        <v/>
      </c>
      <c r="G23" s="7">
        <f>IF($E23="","",IF(ABS($E23)&gt;Settings!$B$2,"yes","no"))</f>
        <v/>
      </c>
      <c r="H23" s="7">
        <f>IF($F23="","",IF(ABS($F23)&gt;=Settings!$B$3/100,"yes","no"))</f>
        <v/>
      </c>
      <c r="I23" s="11">
        <f>IF($E23="","",IF(LOWER(Settings!$B$4)="both",IF(AND($G23="yes",$H23="yes"),"yes","no"),IF(OR($G23="yes",$H23="yes"),"yes","no")))</f>
        <v/>
      </c>
    </row>
    <row r="24">
      <c r="A24" s="7" t="n"/>
      <c r="B24" s="8" t="n"/>
      <c r="C24" s="9" t="n"/>
      <c r="D24" s="9" t="n"/>
      <c r="E24" s="9">
        <f>IF(OR($C24="",$D24=""),"",$D24-$C24)</f>
        <v/>
      </c>
      <c r="F24" s="10">
        <f>IF(OR($C24="",$D24="",$C24=0),"",($D24-$C24)/ABS($C24))</f>
        <v/>
      </c>
      <c r="G24" s="7">
        <f>IF($E24="","",IF(ABS($E24)&gt;Settings!$B$2,"yes","no"))</f>
        <v/>
      </c>
      <c r="H24" s="7">
        <f>IF($F24="","",IF(ABS($F24)&gt;=Settings!$B$3/100,"yes","no"))</f>
        <v/>
      </c>
      <c r="I24" s="11">
        <f>IF($E24="","",IF(LOWER(Settings!$B$4)="both",IF(AND($G24="yes",$H24="yes"),"yes","no"),IF(OR($G24="yes",$H24="yes"),"yes","no")))</f>
        <v/>
      </c>
    </row>
    <row r="25">
      <c r="A25" s="7" t="n"/>
      <c r="B25" s="8" t="n"/>
      <c r="C25" s="9" t="n"/>
      <c r="D25" s="9" t="n"/>
      <c r="E25" s="9">
        <f>IF(OR($C25="",$D25=""),"",$D25-$C25)</f>
        <v/>
      </c>
      <c r="F25" s="10">
        <f>IF(OR($C25="",$D25="",$C25=0),"",($D25-$C25)/ABS($C25))</f>
        <v/>
      </c>
      <c r="G25" s="7">
        <f>IF($E25="","",IF(ABS($E25)&gt;Settings!$B$2,"yes","no"))</f>
        <v/>
      </c>
      <c r="H25" s="7">
        <f>IF($F25="","",IF(ABS($F25)&gt;=Settings!$B$3/100,"yes","no"))</f>
        <v/>
      </c>
      <c r="I25" s="11">
        <f>IF($E25="","",IF(LOWER(Settings!$B$4)="both",IF(AND($G25="yes",$H25="yes"),"yes","no"),IF(OR($G25="yes",$H25="yes"),"yes","no")))</f>
        <v/>
      </c>
    </row>
    <row r="26">
      <c r="A26" s="7" t="n"/>
      <c r="B26" s="8" t="n"/>
      <c r="C26" s="9" t="n"/>
      <c r="D26" s="9" t="n"/>
      <c r="E26" s="9">
        <f>IF(OR($C26="",$D26=""),"",$D26-$C26)</f>
        <v/>
      </c>
      <c r="F26" s="10">
        <f>IF(OR($C26="",$D26="",$C26=0),"",($D26-$C26)/ABS($C26))</f>
        <v/>
      </c>
      <c r="G26" s="7">
        <f>IF($E26="","",IF(ABS($E26)&gt;Settings!$B$2,"yes","no"))</f>
        <v/>
      </c>
      <c r="H26" s="7">
        <f>IF($F26="","",IF(ABS($F26)&gt;=Settings!$B$3/100,"yes","no"))</f>
        <v/>
      </c>
      <c r="I26" s="11">
        <f>IF($E26="","",IF(LOWER(Settings!$B$4)="both",IF(AND($G26="yes",$H26="yes"),"yes","no"),IF(OR($G26="yes",$H26="yes"),"yes","no")))</f>
        <v/>
      </c>
    </row>
    <row r="27">
      <c r="A27" s="7" t="n"/>
      <c r="B27" s="8" t="n"/>
      <c r="C27" s="9" t="n"/>
      <c r="D27" s="9" t="n"/>
      <c r="E27" s="9">
        <f>IF(OR($C27="",$D27=""),"",$D27-$C27)</f>
        <v/>
      </c>
      <c r="F27" s="10">
        <f>IF(OR($C27="",$D27="",$C27=0),"",($D27-$C27)/ABS($C27))</f>
        <v/>
      </c>
      <c r="G27" s="7">
        <f>IF($E27="","",IF(ABS($E27)&gt;Settings!$B$2,"yes","no"))</f>
        <v/>
      </c>
      <c r="H27" s="7">
        <f>IF($F27="","",IF(ABS($F27)&gt;=Settings!$B$3/100,"yes","no"))</f>
        <v/>
      </c>
      <c r="I27" s="11">
        <f>IF($E27="","",IF(LOWER(Settings!$B$4)="both",IF(AND($G27="yes",$H27="yes"),"yes","no"),IF(OR($G27="yes",$H27="yes"),"yes","no")))</f>
        <v/>
      </c>
    </row>
    <row r="28">
      <c r="A28" s="7" t="n"/>
      <c r="B28" s="8" t="n"/>
      <c r="C28" s="9" t="n"/>
      <c r="D28" s="9" t="n"/>
      <c r="E28" s="9">
        <f>IF(OR($C28="",$D28=""),"",$D28-$C28)</f>
        <v/>
      </c>
      <c r="F28" s="10">
        <f>IF(OR($C28="",$D28="",$C28=0),"",($D28-$C28)/ABS($C28))</f>
        <v/>
      </c>
      <c r="G28" s="7">
        <f>IF($E28="","",IF(ABS($E28)&gt;Settings!$B$2,"yes","no"))</f>
        <v/>
      </c>
      <c r="H28" s="7">
        <f>IF($F28="","",IF(ABS($F28)&gt;=Settings!$B$3/100,"yes","no"))</f>
        <v/>
      </c>
      <c r="I28" s="11">
        <f>IF($E28="","",IF(LOWER(Settings!$B$4)="both",IF(AND($G28="yes",$H28="yes"),"yes","no"),IF(OR($G28="yes",$H28="yes"),"yes","no")))</f>
        <v/>
      </c>
    </row>
    <row r="29">
      <c r="A29" s="7" t="n"/>
      <c r="B29" s="8" t="n"/>
      <c r="C29" s="9" t="n"/>
      <c r="D29" s="9" t="n"/>
      <c r="E29" s="9">
        <f>IF(OR($C29="",$D29=""),"",$D29-$C29)</f>
        <v/>
      </c>
      <c r="F29" s="10">
        <f>IF(OR($C29="",$D29="",$C29=0),"",($D29-$C29)/ABS($C29))</f>
        <v/>
      </c>
      <c r="G29" s="7">
        <f>IF($E29="","",IF(ABS($E29)&gt;Settings!$B$2,"yes","no"))</f>
        <v/>
      </c>
      <c r="H29" s="7">
        <f>IF($F29="","",IF(ABS($F29)&gt;=Settings!$B$3/100,"yes","no"))</f>
        <v/>
      </c>
      <c r="I29" s="11">
        <f>IF($E29="","",IF(LOWER(Settings!$B$4)="both",IF(AND($G29="yes",$H29="yes"),"yes","no"),IF(OR($G29="yes",$H29="yes"),"yes","no")))</f>
        <v/>
      </c>
    </row>
    <row r="30">
      <c r="A30" s="7" t="n"/>
      <c r="B30" s="8" t="n"/>
      <c r="C30" s="9" t="n"/>
      <c r="D30" s="9" t="n"/>
      <c r="E30" s="9">
        <f>IF(OR($C30="",$D30=""),"",$D30-$C30)</f>
        <v/>
      </c>
      <c r="F30" s="10">
        <f>IF(OR($C30="",$D30="",$C30=0),"",($D30-$C30)/ABS($C30))</f>
        <v/>
      </c>
      <c r="G30" s="7">
        <f>IF($E30="","",IF(ABS($E30)&gt;Settings!$B$2,"yes","no"))</f>
        <v/>
      </c>
      <c r="H30" s="7">
        <f>IF($F30="","",IF(ABS($F30)&gt;=Settings!$B$3/100,"yes","no"))</f>
        <v/>
      </c>
      <c r="I30" s="11">
        <f>IF($E30="","",IF(LOWER(Settings!$B$4)="both",IF(AND($G30="yes",$H30="yes"),"yes","no"),IF(OR($G30="yes",$H30="yes"),"yes","no")))</f>
        <v/>
      </c>
    </row>
    <row r="31">
      <c r="A31" s="7" t="n"/>
      <c r="B31" s="8" t="n"/>
      <c r="C31" s="9" t="n"/>
      <c r="D31" s="9" t="n"/>
      <c r="E31" s="9">
        <f>IF(OR($C31="",$D31=""),"",$D31-$C31)</f>
        <v/>
      </c>
      <c r="F31" s="10">
        <f>IF(OR($C31="",$D31="",$C31=0),"",($D31-$C31)/ABS($C31))</f>
        <v/>
      </c>
      <c r="G31" s="7">
        <f>IF($E31="","",IF(ABS($E31)&gt;Settings!$B$2,"yes","no"))</f>
        <v/>
      </c>
      <c r="H31" s="7">
        <f>IF($F31="","",IF(ABS($F31)&gt;=Settings!$B$3/100,"yes","no"))</f>
        <v/>
      </c>
      <c r="I31" s="11">
        <f>IF($E31="","",IF(LOWER(Settings!$B$4)="both",IF(AND($G31="yes",$H31="yes"),"yes","no"),IF(OR($G31="yes",$H31="yes"),"yes","no")))</f>
        <v/>
      </c>
    </row>
    <row r="32">
      <c r="A32" s="7" t="n"/>
      <c r="B32" s="8" t="n"/>
      <c r="C32" s="9" t="n"/>
      <c r="D32" s="9" t="n"/>
      <c r="E32" s="9">
        <f>IF(OR($C32="",$D32=""),"",$D32-$C32)</f>
        <v/>
      </c>
      <c r="F32" s="10">
        <f>IF(OR($C32="",$D32="",$C32=0),"",($D32-$C32)/ABS($C32))</f>
        <v/>
      </c>
      <c r="G32" s="7">
        <f>IF($E32="","",IF(ABS($E32)&gt;Settings!$B$2,"yes","no"))</f>
        <v/>
      </c>
      <c r="H32" s="7">
        <f>IF($F32="","",IF(ABS($F32)&gt;=Settings!$B$3/100,"yes","no"))</f>
        <v/>
      </c>
      <c r="I32" s="11">
        <f>IF($E32="","",IF(LOWER(Settings!$B$4)="both",IF(AND($G32="yes",$H32="yes"),"yes","no"),IF(OR($G32="yes",$H32="yes"),"yes","no")))</f>
        <v/>
      </c>
    </row>
    <row r="33">
      <c r="A33" s="7" t="n"/>
      <c r="B33" s="8" t="n"/>
      <c r="C33" s="9" t="n"/>
      <c r="D33" s="9" t="n"/>
      <c r="E33" s="9">
        <f>IF(OR($C33="",$D33=""),"",$D33-$C33)</f>
        <v/>
      </c>
      <c r="F33" s="10">
        <f>IF(OR($C33="",$D33="",$C33=0),"",($D33-$C33)/ABS($C33))</f>
        <v/>
      </c>
      <c r="G33" s="7">
        <f>IF($E33="","",IF(ABS($E33)&gt;Settings!$B$2,"yes","no"))</f>
        <v/>
      </c>
      <c r="H33" s="7">
        <f>IF($F33="","",IF(ABS($F33)&gt;=Settings!$B$3/100,"yes","no"))</f>
        <v/>
      </c>
      <c r="I33" s="11">
        <f>IF($E33="","",IF(LOWER(Settings!$B$4)="both",IF(AND($G33="yes",$H33="yes"),"yes","no"),IF(OR($G33="yes",$H33="yes"),"yes","no")))</f>
        <v/>
      </c>
    </row>
    <row r="34">
      <c r="A34" s="7" t="n"/>
      <c r="B34" s="8" t="n"/>
      <c r="C34" s="9" t="n"/>
      <c r="D34" s="9" t="n"/>
      <c r="E34" s="9">
        <f>IF(OR($C34="",$D34=""),"",$D34-$C34)</f>
        <v/>
      </c>
      <c r="F34" s="10">
        <f>IF(OR($C34="",$D34="",$C34=0),"",($D34-$C34)/ABS($C34))</f>
        <v/>
      </c>
      <c r="G34" s="7">
        <f>IF($E34="","",IF(ABS($E34)&gt;Settings!$B$2,"yes","no"))</f>
        <v/>
      </c>
      <c r="H34" s="7">
        <f>IF($F34="","",IF(ABS($F34)&gt;=Settings!$B$3/100,"yes","no"))</f>
        <v/>
      </c>
      <c r="I34" s="11">
        <f>IF($E34="","",IF(LOWER(Settings!$B$4)="both",IF(AND($G34="yes",$H34="yes"),"yes","no"),IF(OR($G34="yes",$H34="yes"),"yes","no")))</f>
        <v/>
      </c>
    </row>
    <row r="35">
      <c r="A35" s="7" t="n"/>
      <c r="B35" s="8" t="n"/>
      <c r="C35" s="9" t="n"/>
      <c r="D35" s="9" t="n"/>
      <c r="E35" s="9">
        <f>IF(OR($C35="",$D35=""),"",$D35-$C35)</f>
        <v/>
      </c>
      <c r="F35" s="10">
        <f>IF(OR($C35="",$D35="",$C35=0),"",($D35-$C35)/ABS($C35))</f>
        <v/>
      </c>
      <c r="G35" s="7">
        <f>IF($E35="","",IF(ABS($E35)&gt;Settings!$B$2,"yes","no"))</f>
        <v/>
      </c>
      <c r="H35" s="7">
        <f>IF($F35="","",IF(ABS($F35)&gt;=Settings!$B$3/100,"yes","no"))</f>
        <v/>
      </c>
      <c r="I35" s="11">
        <f>IF($E35="","",IF(LOWER(Settings!$B$4)="both",IF(AND($G35="yes",$H35="yes"),"yes","no"),IF(OR($G35="yes",$H35="yes"),"yes","no")))</f>
        <v/>
      </c>
    </row>
    <row r="36">
      <c r="A36" s="7" t="n"/>
      <c r="B36" s="8" t="n"/>
      <c r="C36" s="9" t="n"/>
      <c r="D36" s="9" t="n"/>
      <c r="E36" s="9">
        <f>IF(OR($C36="",$D36=""),"",$D36-$C36)</f>
        <v/>
      </c>
      <c r="F36" s="10">
        <f>IF(OR($C36="",$D36="",$C36=0),"",($D36-$C36)/ABS($C36))</f>
        <v/>
      </c>
      <c r="G36" s="7">
        <f>IF($E36="","",IF(ABS($E36)&gt;Settings!$B$2,"yes","no"))</f>
        <v/>
      </c>
      <c r="H36" s="7">
        <f>IF($F36="","",IF(ABS($F36)&gt;=Settings!$B$3/100,"yes","no"))</f>
        <v/>
      </c>
      <c r="I36" s="11">
        <f>IF($E36="","",IF(LOWER(Settings!$B$4)="both",IF(AND($G36="yes",$H36="yes"),"yes","no"),IF(OR($G36="yes",$H36="yes"),"yes","no")))</f>
        <v/>
      </c>
    </row>
    <row r="37">
      <c r="A37" s="7" t="n"/>
      <c r="B37" s="8" t="n"/>
      <c r="C37" s="9" t="n"/>
      <c r="D37" s="9" t="n"/>
      <c r="E37" s="9">
        <f>IF(OR($C37="",$D37=""),"",$D37-$C37)</f>
        <v/>
      </c>
      <c r="F37" s="10">
        <f>IF(OR($C37="",$D37="",$C37=0),"",($D37-$C37)/ABS($C37))</f>
        <v/>
      </c>
      <c r="G37" s="7">
        <f>IF($E37="","",IF(ABS($E37)&gt;Settings!$B$2,"yes","no"))</f>
        <v/>
      </c>
      <c r="H37" s="7">
        <f>IF($F37="","",IF(ABS($F37)&gt;=Settings!$B$3/100,"yes","no"))</f>
        <v/>
      </c>
      <c r="I37" s="11">
        <f>IF($E37="","",IF(LOWER(Settings!$B$4)="both",IF(AND($G37="yes",$H37="yes"),"yes","no"),IF(OR($G37="yes",$H37="yes"),"yes","no")))</f>
        <v/>
      </c>
    </row>
    <row r="38">
      <c r="A38" s="7" t="n"/>
      <c r="B38" s="8" t="n"/>
      <c r="C38" s="9" t="n"/>
      <c r="D38" s="9" t="n"/>
      <c r="E38" s="9">
        <f>IF(OR($C38="",$D38=""),"",$D38-$C38)</f>
        <v/>
      </c>
      <c r="F38" s="10">
        <f>IF(OR($C38="",$D38="",$C38=0),"",($D38-$C38)/ABS($C38))</f>
        <v/>
      </c>
      <c r="G38" s="7">
        <f>IF($E38="","",IF(ABS($E38)&gt;Settings!$B$2,"yes","no"))</f>
        <v/>
      </c>
      <c r="H38" s="7">
        <f>IF($F38="","",IF(ABS($F38)&gt;=Settings!$B$3/100,"yes","no"))</f>
        <v/>
      </c>
      <c r="I38" s="11">
        <f>IF($E38="","",IF(LOWER(Settings!$B$4)="both",IF(AND($G38="yes",$H38="yes"),"yes","no"),IF(OR($G38="yes",$H38="yes"),"yes","no")))</f>
        <v/>
      </c>
    </row>
    <row r="39">
      <c r="A39" s="7" t="n"/>
      <c r="B39" s="8" t="n"/>
      <c r="C39" s="9" t="n"/>
      <c r="D39" s="9" t="n"/>
      <c r="E39" s="9">
        <f>IF(OR($C39="",$D39=""),"",$D39-$C39)</f>
        <v/>
      </c>
      <c r="F39" s="10">
        <f>IF(OR($C39="",$D39="",$C39=0),"",($D39-$C39)/ABS($C39))</f>
        <v/>
      </c>
      <c r="G39" s="7">
        <f>IF($E39="","",IF(ABS($E39)&gt;Settings!$B$2,"yes","no"))</f>
        <v/>
      </c>
      <c r="H39" s="7">
        <f>IF($F39="","",IF(ABS($F39)&gt;=Settings!$B$3/100,"yes","no"))</f>
        <v/>
      </c>
      <c r="I39" s="11">
        <f>IF($E39="","",IF(LOWER(Settings!$B$4)="both",IF(AND($G39="yes",$H39="yes"),"yes","no"),IF(OR($G39="yes",$H39="yes"),"yes","no")))</f>
        <v/>
      </c>
    </row>
    <row r="40">
      <c r="A40" s="7" t="n"/>
      <c r="B40" s="8" t="n"/>
      <c r="C40" s="9" t="n"/>
      <c r="D40" s="9" t="n"/>
      <c r="E40" s="9">
        <f>IF(OR($C40="",$D40=""),"",$D40-$C40)</f>
        <v/>
      </c>
      <c r="F40" s="10">
        <f>IF(OR($C40="",$D40="",$C40=0),"",($D40-$C40)/ABS($C40))</f>
        <v/>
      </c>
      <c r="G40" s="7">
        <f>IF($E40="","",IF(ABS($E40)&gt;Settings!$B$2,"yes","no"))</f>
        <v/>
      </c>
      <c r="H40" s="7">
        <f>IF($F40="","",IF(ABS($F40)&gt;=Settings!$B$3/100,"yes","no"))</f>
        <v/>
      </c>
      <c r="I40" s="11">
        <f>IF($E40="","",IF(LOWER(Settings!$B$4)="both",IF(AND($G40="yes",$H40="yes"),"yes","no"),IF(OR($G40="yes",$H40="yes"),"yes","no")))</f>
        <v/>
      </c>
    </row>
    <row r="41">
      <c r="A41" s="7" t="n"/>
      <c r="B41" s="8" t="n"/>
      <c r="C41" s="9" t="n"/>
      <c r="D41" s="9" t="n"/>
      <c r="E41" s="9">
        <f>IF(OR($C41="",$D41=""),"",$D41-$C41)</f>
        <v/>
      </c>
      <c r="F41" s="10">
        <f>IF(OR($C41="",$D41="",$C41=0),"",($D41-$C41)/ABS($C41))</f>
        <v/>
      </c>
      <c r="G41" s="7">
        <f>IF($E41="","",IF(ABS($E41)&gt;Settings!$B$2,"yes","no"))</f>
        <v/>
      </c>
      <c r="H41" s="7">
        <f>IF($F41="","",IF(ABS($F41)&gt;=Settings!$B$3/100,"yes","no"))</f>
        <v/>
      </c>
      <c r="I41" s="11">
        <f>IF($E41="","",IF(LOWER(Settings!$B$4)="both",IF(AND($G41="yes",$H41="yes"),"yes","no"),IF(OR($G41="yes",$H41="yes"),"yes","no")))</f>
        <v/>
      </c>
    </row>
    <row r="42">
      <c r="A42" s="7" t="n"/>
      <c r="B42" s="8" t="n"/>
      <c r="C42" s="9" t="n"/>
      <c r="D42" s="9" t="n"/>
      <c r="E42" s="9">
        <f>IF(OR($C42="",$D42=""),"",$D42-$C42)</f>
        <v/>
      </c>
      <c r="F42" s="10">
        <f>IF(OR($C42="",$D42="",$C42=0),"",($D42-$C42)/ABS($C42))</f>
        <v/>
      </c>
      <c r="G42" s="7">
        <f>IF($E42="","",IF(ABS($E42)&gt;Settings!$B$2,"yes","no"))</f>
        <v/>
      </c>
      <c r="H42" s="7">
        <f>IF($F42="","",IF(ABS($F42)&gt;=Settings!$B$3/100,"yes","no"))</f>
        <v/>
      </c>
      <c r="I42" s="11">
        <f>IF($E42="","",IF(LOWER(Settings!$B$4)="both",IF(AND($G42="yes",$H42="yes"),"yes","no"),IF(OR($G42="yes",$H42="yes"),"yes","no")))</f>
        <v/>
      </c>
    </row>
    <row r="43">
      <c r="A43" s="7" t="n"/>
      <c r="B43" s="8" t="n"/>
      <c r="C43" s="9" t="n"/>
      <c r="D43" s="9" t="n"/>
      <c r="E43" s="9">
        <f>IF(OR($C43="",$D43=""),"",$D43-$C43)</f>
        <v/>
      </c>
      <c r="F43" s="10">
        <f>IF(OR($C43="",$D43="",$C43=0),"",($D43-$C43)/ABS($C43))</f>
        <v/>
      </c>
      <c r="G43" s="7">
        <f>IF($E43="","",IF(ABS($E43)&gt;Settings!$B$2,"yes","no"))</f>
        <v/>
      </c>
      <c r="H43" s="7">
        <f>IF($F43="","",IF(ABS($F43)&gt;=Settings!$B$3/100,"yes","no"))</f>
        <v/>
      </c>
      <c r="I43" s="11">
        <f>IF($E43="","",IF(LOWER(Settings!$B$4)="both",IF(AND($G43="yes",$H43="yes"),"yes","no"),IF(OR($G43="yes",$H43="yes"),"yes","no")))</f>
        <v/>
      </c>
    </row>
    <row r="44">
      <c r="A44" s="7" t="n"/>
      <c r="B44" s="8" t="n"/>
      <c r="C44" s="9" t="n"/>
      <c r="D44" s="9" t="n"/>
      <c r="E44" s="9">
        <f>IF(OR($C44="",$D44=""),"",$D44-$C44)</f>
        <v/>
      </c>
      <c r="F44" s="10">
        <f>IF(OR($C44="",$D44="",$C44=0),"",($D44-$C44)/ABS($C44))</f>
        <v/>
      </c>
      <c r="G44" s="7">
        <f>IF($E44="","",IF(ABS($E44)&gt;Settings!$B$2,"yes","no"))</f>
        <v/>
      </c>
      <c r="H44" s="7">
        <f>IF($F44="","",IF(ABS($F44)&gt;=Settings!$B$3/100,"yes","no"))</f>
        <v/>
      </c>
      <c r="I44" s="11">
        <f>IF($E44="","",IF(LOWER(Settings!$B$4)="both",IF(AND($G44="yes",$H44="yes"),"yes","no"),IF(OR($G44="yes",$H44="yes"),"yes","no")))</f>
        <v/>
      </c>
    </row>
    <row r="45">
      <c r="A45" s="7" t="n"/>
      <c r="B45" s="8" t="n"/>
      <c r="C45" s="9" t="n"/>
      <c r="D45" s="9" t="n"/>
      <c r="E45" s="9">
        <f>IF(OR($C45="",$D45=""),"",$D45-$C45)</f>
        <v/>
      </c>
      <c r="F45" s="10">
        <f>IF(OR($C45="",$D45="",$C45=0),"",($D45-$C45)/ABS($C45))</f>
        <v/>
      </c>
      <c r="G45" s="7">
        <f>IF($E45="","",IF(ABS($E45)&gt;Settings!$B$2,"yes","no"))</f>
        <v/>
      </c>
      <c r="H45" s="7">
        <f>IF($F45="","",IF(ABS($F45)&gt;=Settings!$B$3/100,"yes","no"))</f>
        <v/>
      </c>
      <c r="I45" s="11">
        <f>IF($E45="","",IF(LOWER(Settings!$B$4)="both",IF(AND($G45="yes",$H45="yes"),"yes","no"),IF(OR($G45="yes",$H45="yes"),"yes","no")))</f>
        <v/>
      </c>
    </row>
  </sheetData>
  <autoFilter ref="A1:I45"/>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70" customWidth="1" min="3" max="3"/>
  </cols>
  <sheetData>
    <row r="1" ht="32" customHeight="1">
      <c r="A1" s="5" t="inlineStr">
        <is>
          <t>Setting</t>
        </is>
      </c>
      <c r="B1" s="5" t="inlineStr">
        <is>
          <t>Value</t>
        </is>
      </c>
      <c r="C1" s="5" t="inlineStr">
        <is>
          <t>Note</t>
        </is>
      </c>
    </row>
    <row r="2">
      <c r="A2" s="12" t="inlineStr">
        <is>
          <t>Dollar floor</t>
        </is>
      </c>
      <c r="B2" s="13" t="n">
        <v>25000</v>
      </c>
      <c r="C2" s="14" t="inlineStr">
        <is>
          <t>A movement must exceed this to clear the dollar leg.</t>
        </is>
      </c>
    </row>
    <row r="3">
      <c r="A3" s="12" t="inlineStr">
        <is>
          <t>Percent floor (points)</t>
        </is>
      </c>
      <c r="B3" s="15" t="n">
        <v>10</v>
      </c>
      <c r="C3" s="14" t="inlineStr">
        <is>
          <t>A movement must reach this percent of the prior balance to clear the percent leg.</t>
        </is>
      </c>
    </row>
    <row r="4">
      <c r="A4" s="12" t="inlineStr">
        <is>
          <t>Rule</t>
        </is>
      </c>
      <c r="B4" s="15" t="inlineStr">
        <is>
          <t>both</t>
        </is>
      </c>
      <c r="C4" s="14" t="inlineStr">
        <is>
          <t>both means a line owes commentary only when it clears both legs. either means one leg is enough.</t>
        </is>
      </c>
    </row>
    <row r="5">
      <c r="A5" s="12" t="inlineStr">
        <is>
          <t>Close period</t>
        </is>
      </c>
      <c r="B5" s="15" t="inlineStr">
        <is>
          <t>June 2026, Halyard training case</t>
        </is>
      </c>
      <c r="C5" s="14" t="inlineStr">
        <is>
          <t>Rides along on the reviewer log so a filed log says which close it came from.</t>
        </is>
      </c>
    </row>
    <row r="6">
      <c r="A6" s="12" t="inlineStr">
        <is>
          <t>Memo version</t>
        </is>
      </c>
      <c r="B6" s="15" t="inlineStr">
        <is>
          <t>Draft 2</t>
        </is>
      </c>
      <c r="C6" s="14" t="inlineStr">
        <is>
          <t>The version of the commentary these results cover.</t>
        </is>
      </c>
    </row>
    <row r="7">
      <c r="A7" s="12" t="inlineStr">
        <is>
          <t>Tie tolerance, dollars</t>
        </is>
      </c>
      <c r="B7" s="13" t="n">
        <v>1</v>
      </c>
      <c r="C7" s="14" t="inlineStr">
        <is>
          <t>A memo figure ties to the ledger when the two are within this many dollars.</t>
        </is>
      </c>
    </row>
    <row r="8">
      <c r="A8" s="12" t="inlineStr">
        <is>
          <t>Tie tolerance, percentage points</t>
        </is>
      </c>
      <c r="B8" s="15" t="n">
        <v>0.05</v>
      </c>
      <c r="C8" s="14" t="inlineStr">
        <is>
          <t>A memo percent ties when the two are within this many points.</t>
        </is>
      </c>
    </row>
  </sheetData>
  <dataValidations count="1">
    <dataValidation sqref="B4" showDropDown="0" showInputMessage="0" showErrorMessage="0" allowBlank="0" error="The rule is either both or either." type="list">
      <formula1>"both,either"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L43"/>
  <sheetViews>
    <sheetView workbookViewId="0">
      <pane ySplit="1" topLeftCell="A2" activePane="bottomLeft" state="frozen"/>
      <selection pane="bottomLeft" activeCell="A1" sqref="A1"/>
    </sheetView>
  </sheetViews>
  <sheetFormatPr baseColWidth="8" defaultRowHeight="15"/>
  <cols>
    <col width="7" customWidth="1" min="1" max="1"/>
    <col width="78" customWidth="1" min="2" max="2"/>
    <col width="11" customWidth="1" min="3" max="3"/>
    <col width="16" customWidth="1" min="4" max="4"/>
    <col width="13" customWidth="1" min="5" max="5"/>
    <col width="16" customWidth="1" min="6" max="6"/>
    <col width="8" customWidth="1" min="7" max="7"/>
    <col width="14" customWidth="1" min="8" max="8"/>
    <col width="14" customWidth="1" min="9" max="9"/>
    <col width="11" customWidth="1" min="10" max="10"/>
    <col width="14" customWidth="1" min="11" max="11"/>
    <col width="11" customWidth="1" min="12" max="12"/>
  </cols>
  <sheetData>
    <row r="1" ht="32" customHeight="1">
      <c r="A1" s="5" t="inlineStr">
        <is>
          <t>Line</t>
        </is>
      </c>
      <c r="B1" s="5" t="inlineStr">
        <is>
          <t>Sentence</t>
        </is>
      </c>
      <c r="C1" s="5" t="inlineStr">
        <is>
          <t>Account</t>
        </is>
      </c>
      <c r="D1" s="5" t="inlineStr">
        <is>
          <t>Figure in sentence</t>
        </is>
      </c>
      <c r="E1" s="5" t="inlineStr">
        <is>
          <t>Figure basis</t>
        </is>
      </c>
      <c r="F1" s="5" t="inlineStr">
        <is>
          <t>Ledger figure</t>
        </is>
      </c>
      <c r="G1" s="5" t="inlineStr">
        <is>
          <t>Ties</t>
        </is>
      </c>
      <c r="H1" s="5" t="inlineStr">
        <is>
          <t>Direction stated</t>
        </is>
      </c>
      <c r="I1" s="5" t="inlineStr">
        <is>
          <t>Direction on ledger</t>
        </is>
      </c>
      <c r="J1" s="5" t="inlineStr">
        <is>
          <t>Direction ties</t>
        </is>
      </c>
      <c r="K1" s="5" t="inlineStr">
        <is>
          <t>Owes commentary</t>
        </is>
      </c>
      <c r="L1" s="6" t="inlineStr">
        <is>
          <t>Result</t>
        </is>
      </c>
    </row>
    <row r="2" ht="42" customHeight="1">
      <c r="A2" s="16" t="inlineStr">
        <is>
          <t>S1</t>
        </is>
      </c>
      <c r="B2" s="14" t="inlineStr">
        <is>
          <t>Depot repairs and maintenance of $118,600 reflects the roof and dock leveler program, which finished on June 30.</t>
        </is>
      </c>
      <c r="C2" s="16" t="n">
        <v>6200</v>
      </c>
      <c r="D2" s="17" t="n">
        <v>118600</v>
      </c>
      <c r="E2" s="16" t="inlineStr">
        <is>
          <t>Current</t>
        </is>
      </c>
      <c r="F2" s="17">
        <f>IF(OR($C2="",$E2=""),"",IFERROR(IF($E2="Percent",INDEX(Ledger!$F$2:$F$45,MATCH($C2,Ledger!$A$2:$A$45,0))*100,INDEX(Ledger!$C$2:$E$45,MATCH($C2,Ledger!$A$2:$A$45,0),MATCH($E2,{"Prior","Current","Change"},0))),""))</f>
        <v/>
      </c>
      <c r="G2" s="16">
        <f>IF(OR($D2="",$F2=""),"",IF(ABS(ABS($D2)-ABS($F2))&lt;=IF($E2="Percent",Settings!$B$8,Settings!$B$7),"yes","no"))</f>
        <v/>
      </c>
      <c r="H2" s="16" t="inlineStr">
        <is>
          <t>none</t>
        </is>
      </c>
      <c r="I2" s="16">
        <f>IF($C2="","",IFERROR(IF(INDEX(Ledger!$E$2:$E$45,MATCH($C2,Ledger!$A$2:$A$45,0))="","",IF(INDEX(Ledger!$E$2:$E$45,MATCH($C2,Ledger!$A$2:$A$45,0))&gt;0,"up",IF(INDEX(Ledger!$E$2:$E$45,MATCH($C2,Ledger!$A$2:$A$45,0))&lt;0,"down","none"))),""))</f>
        <v/>
      </c>
      <c r="J2" s="16">
        <f>IF(OR($H2="",$H2="none",$I2=""),"",IF($H2=$I2,"yes","no"))</f>
        <v/>
      </c>
      <c r="K2" s="16">
        <f>IF($C2="","",IFERROR(INDEX(Ledger!$I$2:$I$45,MATCH($C2,Ledger!$A$2:$A$45,0)),""))</f>
        <v/>
      </c>
      <c r="L2" s="18">
        <f>IF($C2="","",IF(OR($G2="no",$J2="no"),"FAIL",IF($K2="no","INFO","REVIEW")))</f>
        <v/>
      </c>
    </row>
    <row r="3" ht="42" customHeight="1">
      <c r="A3" s="16" t="inlineStr">
        <is>
          <t>S2</t>
        </is>
      </c>
      <c r="B3" s="14" t="inlineStr">
        <is>
          <t>Bad debt expense increased $42,000 following the reserve taken against the Coastal Grocers receivable.</t>
        </is>
      </c>
      <c r="C3" s="16" t="n">
        <v>6400</v>
      </c>
      <c r="D3" s="17" t="n">
        <v>42000</v>
      </c>
      <c r="E3" s="16" t="inlineStr">
        <is>
          <t>Change</t>
        </is>
      </c>
      <c r="F3" s="17">
        <f>IF(OR($C3="",$E3=""),"",IFERROR(IF($E3="Percent",INDEX(Ledger!$F$2:$F$45,MATCH($C3,Ledger!$A$2:$A$45,0))*100,INDEX(Ledger!$C$2:$E$45,MATCH($C3,Ledger!$A$2:$A$45,0),MATCH($E3,{"Prior","Current","Change"},0))),""))</f>
        <v/>
      </c>
      <c r="G3" s="16">
        <f>IF(OR($D3="",$F3=""),"",IF(ABS(ABS($D3)-ABS($F3))&lt;=IF($E3="Percent",Settings!$B$8,Settings!$B$7),"yes","no"))</f>
        <v/>
      </c>
      <c r="H3" s="16" t="inlineStr">
        <is>
          <t>up</t>
        </is>
      </c>
      <c r="I3" s="16">
        <f>IF($C3="","",IFERROR(IF(INDEX(Ledger!$E$2:$E$45,MATCH($C3,Ledger!$A$2:$A$45,0))="","",IF(INDEX(Ledger!$E$2:$E$45,MATCH($C3,Ledger!$A$2:$A$45,0))&gt;0,"up",IF(INDEX(Ledger!$E$2:$E$45,MATCH($C3,Ledger!$A$2:$A$45,0))&lt;0,"down","none"))),""))</f>
        <v/>
      </c>
      <c r="J3" s="16">
        <f>IF(OR($H3="",$H3="none",$I3=""),"",IF($H3=$I3,"yes","no"))</f>
        <v/>
      </c>
      <c r="K3" s="16">
        <f>IF($C3="","",IFERROR(INDEX(Ledger!$I$2:$I$45,MATCH($C3,Ledger!$A$2:$A$45,0)),""))</f>
        <v/>
      </c>
      <c r="L3" s="18">
        <f>IF($C3="","",IF(OR($G3="no",$J3="no"),"FAIL",IF($K3="no","INFO","REVIEW")))</f>
        <v/>
      </c>
    </row>
    <row r="4" ht="42" customHeight="1">
      <c r="A4" s="16" t="inlineStr">
        <is>
          <t>S3</t>
        </is>
      </c>
      <c r="B4" s="14" t="inlineStr">
        <is>
          <t>Software subscriptions rose $1,600, which clears neither leg of the threshold, so this line carries no driver.</t>
        </is>
      </c>
      <c r="C4" s="16" t="n">
        <v>6300</v>
      </c>
      <c r="D4" s="17" t="n">
        <v>1600</v>
      </c>
      <c r="E4" s="16" t="inlineStr">
        <is>
          <t>Change</t>
        </is>
      </c>
      <c r="F4" s="17">
        <f>IF(OR($C4="",$E4=""),"",IFERROR(IF($E4="Percent",INDEX(Ledger!$F$2:$F$45,MATCH($C4,Ledger!$A$2:$A$45,0))*100,INDEX(Ledger!$C$2:$E$45,MATCH($C4,Ledger!$A$2:$A$45,0),MATCH($E4,{"Prior","Current","Change"},0))),""))</f>
        <v/>
      </c>
      <c r="G4" s="16">
        <f>IF(OR($D4="",$F4=""),"",IF(ABS(ABS($D4)-ABS($F4))&lt;=IF($E4="Percent",Settings!$B$8,Settings!$B$7),"yes","no"))</f>
        <v/>
      </c>
      <c r="H4" s="16" t="inlineStr">
        <is>
          <t>up</t>
        </is>
      </c>
      <c r="I4" s="16">
        <f>IF($C4="","",IFERROR(IF(INDEX(Ledger!$E$2:$E$45,MATCH($C4,Ledger!$A$2:$A$45,0))="","",IF(INDEX(Ledger!$E$2:$E$45,MATCH($C4,Ledger!$A$2:$A$45,0))&gt;0,"up",IF(INDEX(Ledger!$E$2:$E$45,MATCH($C4,Ledger!$A$2:$A$45,0))&lt;0,"down","none"))),""))</f>
        <v/>
      </c>
      <c r="J4" s="16">
        <f>IF(OR($H4="",$H4="none",$I4=""),"",IF($H4=$I4,"yes","no"))</f>
        <v/>
      </c>
      <c r="K4" s="16">
        <f>IF($C4="","",IFERROR(INDEX(Ledger!$I$2:$I$45,MATCH($C4,Ledger!$A$2:$A$45,0)),""))</f>
        <v/>
      </c>
      <c r="L4" s="18">
        <f>IF($C4="","",IF(OR($G4="no",$J4="no"),"FAIL",IF($K4="no","INFO","REVIEW")))</f>
        <v/>
      </c>
    </row>
    <row r="5" ht="42" customHeight="1">
      <c r="A5" s="16" t="inlineStr">
        <is>
          <t>S4</t>
        </is>
      </c>
      <c r="B5" s="14" t="inlineStr">
        <is>
          <t>Distribution revenue of $5,612,000 grew 7.1 percent over May on continued customer demand across all four depots.</t>
        </is>
      </c>
      <c r="C5" s="16" t="n">
        <v>4000</v>
      </c>
      <c r="D5" s="17" t="n">
        <v>5612000</v>
      </c>
      <c r="E5" s="16" t="inlineStr">
        <is>
          <t>Current</t>
        </is>
      </c>
      <c r="F5" s="17">
        <f>IF(OR($C5="",$E5=""),"",IFERROR(IF($E5="Percent",INDEX(Ledger!$F$2:$F$45,MATCH($C5,Ledger!$A$2:$A$45,0))*100,INDEX(Ledger!$C$2:$E$45,MATCH($C5,Ledger!$A$2:$A$45,0),MATCH($E5,{"Prior","Current","Change"},0))),""))</f>
        <v/>
      </c>
      <c r="G5" s="16">
        <f>IF(OR($D5="",$F5=""),"",IF(ABS(ABS($D5)-ABS($F5))&lt;=IF($E5="Percent",Settings!$B$8,Settings!$B$7),"yes","no"))</f>
        <v/>
      </c>
      <c r="H5" s="16" t="inlineStr">
        <is>
          <t>up</t>
        </is>
      </c>
      <c r="I5" s="16">
        <f>IF($C5="","",IFERROR(IF(INDEX(Ledger!$E$2:$E$45,MATCH($C5,Ledger!$A$2:$A$45,0))="","",IF(INDEX(Ledger!$E$2:$E$45,MATCH($C5,Ledger!$A$2:$A$45,0))&gt;0,"up",IF(INDEX(Ledger!$E$2:$E$45,MATCH($C5,Ledger!$A$2:$A$45,0))&lt;0,"down","none"))),""))</f>
        <v/>
      </c>
      <c r="J5" s="16">
        <f>IF(OR($H5="",$H5="none",$I5=""),"",IF($H5=$I5,"yes","no"))</f>
        <v/>
      </c>
      <c r="K5" s="16">
        <f>IF($C5="","",IFERROR(INDEX(Ledger!$I$2:$I$45,MATCH($C5,Ledger!$A$2:$A$45,0)),""))</f>
        <v/>
      </c>
      <c r="L5" s="18">
        <f>IF($C5="","",IF(OR($G5="no",$J5="no"),"FAIL",IF($K5="no","INFO","REVIEW")))</f>
        <v/>
      </c>
    </row>
    <row r="6" ht="42" customHeight="1">
      <c r="A6" s="16" t="inlineStr">
        <is>
          <t>S5</t>
        </is>
      </c>
      <c r="B6" s="14" t="inlineStr">
        <is>
          <t>The growth in both revenue lines is driven by the Tri-State depot ramp, which management expects to continue through the third quarter.</t>
        </is>
      </c>
      <c r="C6" s="16" t="n">
        <v>4100</v>
      </c>
      <c r="D6" s="17" t="n"/>
      <c r="E6" s="16" t="inlineStr"/>
      <c r="F6" s="17">
        <f>IF(OR($C6="",$E6=""),"",IFERROR(IF($E6="Percent",INDEX(Ledger!$F$2:$F$45,MATCH($C6,Ledger!$A$2:$A$45,0))*100,INDEX(Ledger!$C$2:$E$45,MATCH($C6,Ledger!$A$2:$A$45,0),MATCH($E6,{"Prior","Current","Change"},0))),""))</f>
        <v/>
      </c>
      <c r="G6" s="16">
        <f>IF(OR($D6="",$F6=""),"",IF(ABS(ABS($D6)-ABS($F6))&lt;=IF($E6="Percent",Settings!$B$8,Settings!$B$7),"yes","no"))</f>
        <v/>
      </c>
      <c r="H6" s="16" t="inlineStr">
        <is>
          <t>up</t>
        </is>
      </c>
      <c r="I6" s="16">
        <f>IF($C6="","",IFERROR(IF(INDEX(Ledger!$E$2:$E$45,MATCH($C6,Ledger!$A$2:$A$45,0))="","",IF(INDEX(Ledger!$E$2:$E$45,MATCH($C6,Ledger!$A$2:$A$45,0))&gt;0,"up",IF(INDEX(Ledger!$E$2:$E$45,MATCH($C6,Ledger!$A$2:$A$45,0))&lt;0,"down","none"))),""))</f>
        <v/>
      </c>
      <c r="J6" s="16">
        <f>IF(OR($H6="",$H6="none",$I6=""),"",IF($H6=$I6,"yes","no"))</f>
        <v/>
      </c>
      <c r="K6" s="16">
        <f>IF($C6="","",IFERROR(INDEX(Ledger!$I$2:$I$45,MATCH($C6,Ledger!$A$2:$A$45,0)),""))</f>
        <v/>
      </c>
      <c r="L6" s="18">
        <f>IF($C6="","",IF(OR($G6="no",$J6="no"),"FAIL",IF($K6="no","INFO","REVIEW")))</f>
        <v/>
      </c>
    </row>
    <row r="7" ht="42" customHeight="1">
      <c r="A7" s="16" t="inlineStr">
        <is>
          <t>S6</t>
        </is>
      </c>
      <c r="B7" s="14" t="inlineStr">
        <is>
          <t>Inbound freight declined to $287,800 as carrier fuel surcharges eased.</t>
        </is>
      </c>
      <c r="C7" s="16" t="n">
        <v>5100</v>
      </c>
      <c r="D7" s="17" t="n">
        <v>287800</v>
      </c>
      <c r="E7" s="16" t="inlineStr">
        <is>
          <t>Current</t>
        </is>
      </c>
      <c r="F7" s="17">
        <f>IF(OR($C7="",$E7=""),"",IFERROR(IF($E7="Percent",INDEX(Ledger!$F$2:$F$45,MATCH($C7,Ledger!$A$2:$A$45,0))*100,INDEX(Ledger!$C$2:$E$45,MATCH($C7,Ledger!$A$2:$A$45,0),MATCH($E7,{"Prior","Current","Change"},0))),""))</f>
        <v/>
      </c>
      <c r="G7" s="16">
        <f>IF(OR($D7="",$F7=""),"",IF(ABS(ABS($D7)-ABS($F7))&lt;=IF($E7="Percent",Settings!$B$8,Settings!$B$7),"yes","no"))</f>
        <v/>
      </c>
      <c r="H7" s="16" t="inlineStr">
        <is>
          <t>down</t>
        </is>
      </c>
      <c r="I7" s="16">
        <f>IF($C7="","",IFERROR(IF(INDEX(Ledger!$E$2:$E$45,MATCH($C7,Ledger!$A$2:$A$45,0))="","",IF(INDEX(Ledger!$E$2:$E$45,MATCH($C7,Ledger!$A$2:$A$45,0))&gt;0,"up",IF(INDEX(Ledger!$E$2:$E$45,MATCH($C7,Ledger!$A$2:$A$45,0))&lt;0,"down","none"))),""))</f>
        <v/>
      </c>
      <c r="J7" s="16">
        <f>IF(OR($H7="",$H7="none",$I7=""),"",IF($H7=$I7,"yes","no"))</f>
        <v/>
      </c>
      <c r="K7" s="16">
        <f>IF($C7="","",IFERROR(INDEX(Ledger!$I$2:$I$45,MATCH($C7,Ledger!$A$2:$A$45,0)),""))</f>
        <v/>
      </c>
      <c r="L7" s="18">
        <f>IF($C7="","",IF(OR($G7="no",$J7="no"),"FAIL",IF($K7="no","INFO","REVIEW")))</f>
        <v/>
      </c>
    </row>
    <row r="8" ht="42" customHeight="1">
      <c r="A8" s="16" t="inlineStr">
        <is>
          <t>S7</t>
        </is>
      </c>
      <c r="B8" s="14" t="inlineStr">
        <is>
          <t>Interest expense rose $31,200 on the depot equipment additions that also sit in depreciation.</t>
        </is>
      </c>
      <c r="C8" s="16" t="n">
        <v>7100</v>
      </c>
      <c r="D8" s="17" t="n">
        <v>31200</v>
      </c>
      <c r="E8" s="16" t="inlineStr">
        <is>
          <t>Change</t>
        </is>
      </c>
      <c r="F8" s="17">
        <f>IF(OR($C8="",$E8=""),"",IFERROR(IF($E8="Percent",INDEX(Ledger!$F$2:$F$45,MATCH($C8,Ledger!$A$2:$A$45,0))*100,INDEX(Ledger!$C$2:$E$45,MATCH($C8,Ledger!$A$2:$A$45,0),MATCH($E8,{"Prior","Current","Change"},0))),""))</f>
        <v/>
      </c>
      <c r="G8" s="16">
        <f>IF(OR($D8="",$F8=""),"",IF(ABS(ABS($D8)-ABS($F8))&lt;=IF($E8="Percent",Settings!$B$8,Settings!$B$7),"yes","no"))</f>
        <v/>
      </c>
      <c r="H8" s="16" t="inlineStr">
        <is>
          <t>up</t>
        </is>
      </c>
      <c r="I8" s="16">
        <f>IF($C8="","",IFERROR(IF(INDEX(Ledger!$E$2:$E$45,MATCH($C8,Ledger!$A$2:$A$45,0))="","",IF(INDEX(Ledger!$E$2:$E$45,MATCH($C8,Ledger!$A$2:$A$45,0))&gt;0,"up",IF(INDEX(Ledger!$E$2:$E$45,MATCH($C8,Ledger!$A$2:$A$45,0))&lt;0,"down","none"))),""))</f>
        <v/>
      </c>
      <c r="J8" s="16">
        <f>IF(OR($H8="",$H8="none",$I8=""),"",IF($H8=$I8,"yes","no"))</f>
        <v/>
      </c>
      <c r="K8" s="16">
        <f>IF($C8="","",IFERROR(INDEX(Ledger!$I$2:$I$45,MATCH($C8,Ledger!$A$2:$A$45,0)),""))</f>
        <v/>
      </c>
      <c r="L8" s="18">
        <f>IF($C8="","",IF(OR($G8="no",$J8="no"),"FAIL",IF($K8="no","INFO","REVIEW")))</f>
        <v/>
      </c>
    </row>
    <row r="9" ht="42" customHeight="1">
      <c r="A9" s="16" t="inlineStr">
        <is>
          <t>S8</t>
        </is>
      </c>
      <c r="B9" s="14" t="inlineStr">
        <is>
          <t>Fleet fuel fell $5,200 on lower pump prices through June, and the movement fails both legs of the threshold, so the line owes no commentary at all. Every June fuel invoice from the fleet servicer was received and recorded before the books closed.</t>
        </is>
      </c>
      <c r="C9" s="16" t="n">
        <v>6100</v>
      </c>
      <c r="D9" s="17" t="n">
        <v>5200</v>
      </c>
      <c r="E9" s="16" t="inlineStr">
        <is>
          <t>Change</t>
        </is>
      </c>
      <c r="F9" s="17">
        <f>IF(OR($C9="",$E9=""),"",IFERROR(IF($E9="Percent",INDEX(Ledger!$F$2:$F$45,MATCH($C9,Ledger!$A$2:$A$45,0))*100,INDEX(Ledger!$C$2:$E$45,MATCH($C9,Ledger!$A$2:$A$45,0),MATCH($E9,{"Prior","Current","Change"},0))),""))</f>
        <v/>
      </c>
      <c r="G9" s="16">
        <f>IF(OR($D9="",$F9=""),"",IF(ABS(ABS($D9)-ABS($F9))&lt;=IF($E9="Percent",Settings!$B$8,Settings!$B$7),"yes","no"))</f>
        <v/>
      </c>
      <c r="H9" s="16" t="inlineStr">
        <is>
          <t>down</t>
        </is>
      </c>
      <c r="I9" s="16">
        <f>IF($C9="","",IFERROR(IF(INDEX(Ledger!$E$2:$E$45,MATCH($C9,Ledger!$A$2:$A$45,0))="","",IF(INDEX(Ledger!$E$2:$E$45,MATCH($C9,Ledger!$A$2:$A$45,0))&gt;0,"up",IF(INDEX(Ledger!$E$2:$E$45,MATCH($C9,Ledger!$A$2:$A$45,0))&lt;0,"down","none"))),""))</f>
        <v/>
      </c>
      <c r="J9" s="16">
        <f>IF(OR($H9="",$H9="none",$I9=""),"",IF($H9=$I9,"yes","no"))</f>
        <v/>
      </c>
      <c r="K9" s="16">
        <f>IF($C9="","",IFERROR(INDEX(Ledger!$I$2:$I$45,MATCH($C9,Ledger!$A$2:$A$45,0)),""))</f>
        <v/>
      </c>
      <c r="L9" s="18">
        <f>IF($C9="","",IF(OR($G9="no",$J9="no"),"FAIL",IF($K9="no","INFO","REVIEW")))</f>
        <v/>
      </c>
    </row>
    <row r="10" ht="42" customHeight="1">
      <c r="A10" s="16" t="inlineStr">
        <is>
          <t>S9</t>
        </is>
      </c>
      <c r="B10" s="14" t="inlineStr">
        <is>
          <t>Service revenue rose $229,000 as the equipment maintenance contracts signed in the spring moved onto monthly billing in June, and each month's fee is earned in the month it covers.</t>
        </is>
      </c>
      <c r="C10" s="16" t="n">
        <v>4100</v>
      </c>
      <c r="D10" s="17" t="n">
        <v>229000</v>
      </c>
      <c r="E10" s="16" t="inlineStr">
        <is>
          <t>Change</t>
        </is>
      </c>
      <c r="F10" s="17">
        <f>IF(OR($C10="",$E10=""),"",IFERROR(IF($E10="Percent",INDEX(Ledger!$F$2:$F$45,MATCH($C10,Ledger!$A$2:$A$45,0))*100,INDEX(Ledger!$C$2:$E$45,MATCH($C10,Ledger!$A$2:$A$45,0),MATCH($E10,{"Prior","Current","Change"},0))),""))</f>
        <v/>
      </c>
      <c r="G10" s="16">
        <f>IF(OR($D10="",$F10=""),"",IF(ABS(ABS($D10)-ABS($F10))&lt;=IF($E10="Percent",Settings!$B$8,Settings!$B$7),"yes","no"))</f>
        <v/>
      </c>
      <c r="H10" s="16" t="inlineStr">
        <is>
          <t>up</t>
        </is>
      </c>
      <c r="I10" s="16">
        <f>IF($C10="","",IFERROR(IF(INDEX(Ledger!$E$2:$E$45,MATCH($C10,Ledger!$A$2:$A$45,0))="","",IF(INDEX(Ledger!$E$2:$E$45,MATCH($C10,Ledger!$A$2:$A$45,0))&gt;0,"up",IF(INDEX(Ledger!$E$2:$E$45,MATCH($C10,Ledger!$A$2:$A$45,0))&lt;0,"down","none"))),""))</f>
        <v/>
      </c>
      <c r="J10" s="16">
        <f>IF(OR($H10="",$H10="none",$I10=""),"",IF($H10=$I10,"yes","no"))</f>
        <v/>
      </c>
      <c r="K10" s="16">
        <f>IF($C10="","",IFERROR(INDEX(Ledger!$I$2:$I$45,MATCH($C10,Ledger!$A$2:$A$45,0)),""))</f>
        <v/>
      </c>
      <c r="L10" s="18">
        <f>IF($C10="","",IF(OR($G10="no",$J10="no"),"FAIL",IF($K10="no","INFO","REVIEW")))</f>
        <v/>
      </c>
    </row>
    <row r="11" ht="42" customHeight="1">
      <c r="A11" s="16" t="inlineStr">
        <is>
          <t>S10</t>
        </is>
      </c>
      <c r="B11" s="14" t="inlineStr">
        <is>
          <t>The remaining depot repairs are scheduled to finish in August, and that spend is not yet in these numbers.</t>
        </is>
      </c>
      <c r="C11" s="16" t="n">
        <v>6200</v>
      </c>
      <c r="D11" s="17" t="n"/>
      <c r="E11" s="16" t="inlineStr"/>
      <c r="F11" s="17">
        <f>IF(OR($C11="",$E11=""),"",IFERROR(IF($E11="Percent",INDEX(Ledger!$F$2:$F$45,MATCH($C11,Ledger!$A$2:$A$45,0))*100,INDEX(Ledger!$C$2:$E$45,MATCH($C11,Ledger!$A$2:$A$45,0),MATCH($E11,{"Prior","Current","Change"},0))),""))</f>
        <v/>
      </c>
      <c r="G11" s="16">
        <f>IF(OR($D11="",$F11=""),"",IF(ABS(ABS($D11)-ABS($F11))&lt;=IF($E11="Percent",Settings!$B$8,Settings!$B$7),"yes","no"))</f>
        <v/>
      </c>
      <c r="H11" s="16" t="inlineStr">
        <is>
          <t>none</t>
        </is>
      </c>
      <c r="I11" s="16">
        <f>IF($C11="","",IFERROR(IF(INDEX(Ledger!$E$2:$E$45,MATCH($C11,Ledger!$A$2:$A$45,0))="","",IF(INDEX(Ledger!$E$2:$E$45,MATCH($C11,Ledger!$A$2:$A$45,0))&gt;0,"up",IF(INDEX(Ledger!$E$2:$E$45,MATCH($C11,Ledger!$A$2:$A$45,0))&lt;0,"down","none"))),""))</f>
        <v/>
      </c>
      <c r="J11" s="16">
        <f>IF(OR($H11="",$H11="none",$I11=""),"",IF($H11=$I11,"yes","no"))</f>
        <v/>
      </c>
      <c r="K11" s="16">
        <f>IF($C11="","",IFERROR(INDEX(Ledger!$I$2:$I$45,MATCH($C11,Ledger!$A$2:$A$45,0)),""))</f>
        <v/>
      </c>
      <c r="L11" s="18">
        <f>IF($C11="","",IF(OR($G11="no",$J11="no"),"FAIL",IF($K11="no","INFO","REVIEW")))</f>
        <v/>
      </c>
    </row>
    <row r="12" ht="42" customHeight="1">
      <c r="A12" s="16" t="inlineStr">
        <is>
          <t>S11</t>
        </is>
      </c>
      <c r="B12" s="14" t="inlineStr">
        <is>
          <t>Cost of product sold rose $348,000 against a $372,000 rise in revenue, so product gross margin fell from 25.0 percent in May to 23.8 percent in June on a shift toward lower margin lines.</t>
        </is>
      </c>
      <c r="C12" s="16" t="n">
        <v>5000</v>
      </c>
      <c r="D12" s="17" t="n">
        <v>348000</v>
      </c>
      <c r="E12" s="16" t="inlineStr">
        <is>
          <t>Change</t>
        </is>
      </c>
      <c r="F12" s="17">
        <f>IF(OR($C12="",$E12=""),"",IFERROR(IF($E12="Percent",INDEX(Ledger!$F$2:$F$45,MATCH($C12,Ledger!$A$2:$A$45,0))*100,INDEX(Ledger!$C$2:$E$45,MATCH($C12,Ledger!$A$2:$A$45,0),MATCH($E12,{"Prior","Current","Change"},0))),""))</f>
        <v/>
      </c>
      <c r="G12" s="16">
        <f>IF(OR($D12="",$F12=""),"",IF(ABS(ABS($D12)-ABS($F12))&lt;=IF($E12="Percent",Settings!$B$8,Settings!$B$7),"yes","no"))</f>
        <v/>
      </c>
      <c r="H12" s="16" t="inlineStr">
        <is>
          <t>up</t>
        </is>
      </c>
      <c r="I12" s="16">
        <f>IF($C12="","",IFERROR(IF(INDEX(Ledger!$E$2:$E$45,MATCH($C12,Ledger!$A$2:$A$45,0))="","",IF(INDEX(Ledger!$E$2:$E$45,MATCH($C12,Ledger!$A$2:$A$45,0))&gt;0,"up",IF(INDEX(Ledger!$E$2:$E$45,MATCH($C12,Ledger!$A$2:$A$45,0))&lt;0,"down","none"))),""))</f>
        <v/>
      </c>
      <c r="J12" s="16">
        <f>IF(OR($H12="",$H12="none",$I12=""),"",IF($H12=$I12,"yes","no"))</f>
        <v/>
      </c>
      <c r="K12" s="16">
        <f>IF($C12="","",IFERROR(INDEX(Ledger!$I$2:$I$45,MATCH($C12,Ledger!$A$2:$A$45,0)),""))</f>
        <v/>
      </c>
      <c r="L12" s="18">
        <f>IF($C12="","",IF(OR($G12="no",$J12="no"),"FAIL",IF($K12="no","INFO","REVIEW")))</f>
        <v/>
      </c>
    </row>
    <row r="13" ht="42" customHeight="1">
      <c r="A13" s="16" t="inlineStr">
        <is>
          <t>S12</t>
        </is>
      </c>
      <c r="B13" s="14" t="inlineStr">
        <is>
          <t>Professional fees fell $7,500 because May carried a one-time $7,500 invoice from outside counsel for the depot lease renewal review, and the movement fails the dollar leg of the threshold.</t>
        </is>
      </c>
      <c r="C13" s="16" t="n">
        <v>6500</v>
      </c>
      <c r="D13" s="17" t="n">
        <v>7500</v>
      </c>
      <c r="E13" s="16" t="inlineStr">
        <is>
          <t>Change</t>
        </is>
      </c>
      <c r="F13" s="17">
        <f>IF(OR($C13="",$E13=""),"",IFERROR(IF($E13="Percent",INDEX(Ledger!$F$2:$F$45,MATCH($C13,Ledger!$A$2:$A$45,0))*100,INDEX(Ledger!$C$2:$E$45,MATCH($C13,Ledger!$A$2:$A$45,0),MATCH($E13,{"Prior","Current","Change"},0))),""))</f>
        <v/>
      </c>
      <c r="G13" s="16">
        <f>IF(OR($D13="",$F13=""),"",IF(ABS(ABS($D13)-ABS($F13))&lt;=IF($E13="Percent",Settings!$B$8,Settings!$B$7),"yes","no"))</f>
        <v/>
      </c>
      <c r="H13" s="16" t="inlineStr">
        <is>
          <t>down</t>
        </is>
      </c>
      <c r="I13" s="16">
        <f>IF($C13="","",IFERROR(IF(INDEX(Ledger!$E$2:$E$45,MATCH($C13,Ledger!$A$2:$A$45,0))="","",IF(INDEX(Ledger!$E$2:$E$45,MATCH($C13,Ledger!$A$2:$A$45,0))&gt;0,"up",IF(INDEX(Ledger!$E$2:$E$45,MATCH($C13,Ledger!$A$2:$A$45,0))&lt;0,"down","none"))),""))</f>
        <v/>
      </c>
      <c r="J13" s="16">
        <f>IF(OR($H13="",$H13="none",$I13=""),"",IF($H13=$I13,"yes","no"))</f>
        <v/>
      </c>
      <c r="K13" s="16">
        <f>IF($C13="","",IFERROR(INDEX(Ledger!$I$2:$I$45,MATCH($C13,Ledger!$A$2:$A$45,0)),""))</f>
        <v/>
      </c>
      <c r="L13" s="18">
        <f>IF($C13="","",IF(OR($G13="no",$J13="no"),"FAIL",IF($K13="no","INFO","REVIEW")))</f>
        <v/>
      </c>
    </row>
    <row r="14">
      <c r="A14" s="16" t="n"/>
      <c r="B14" s="14" t="n"/>
      <c r="C14" s="16" t="n"/>
      <c r="D14" s="17" t="n"/>
      <c r="E14" s="16" t="n"/>
      <c r="F14" s="17">
        <f>IF(OR($C14="",$E14=""),"",IFERROR(IF($E14="Percent",INDEX(Ledger!$F$2:$F$45,MATCH($C14,Ledger!$A$2:$A$45,0))*100,INDEX(Ledger!$C$2:$E$45,MATCH($C14,Ledger!$A$2:$A$45,0),MATCH($E14,{"Prior","Current","Change"},0))),""))</f>
        <v/>
      </c>
      <c r="G14" s="16">
        <f>IF(OR($D14="",$F14=""),"",IF(ABS(ABS($D14)-ABS($F14))&lt;=IF($E14="Percent",Settings!$B$8,Settings!$B$7),"yes","no"))</f>
        <v/>
      </c>
      <c r="H14" s="16" t="n"/>
      <c r="I14" s="16">
        <f>IF($C14="","",IFERROR(IF(INDEX(Ledger!$E$2:$E$45,MATCH($C14,Ledger!$A$2:$A$45,0))="","",IF(INDEX(Ledger!$E$2:$E$45,MATCH($C14,Ledger!$A$2:$A$45,0))&gt;0,"up",IF(INDEX(Ledger!$E$2:$E$45,MATCH($C14,Ledger!$A$2:$A$45,0))&lt;0,"down","none"))),""))</f>
        <v/>
      </c>
      <c r="J14" s="16">
        <f>IF(OR($H14="",$H14="none",$I14=""),"",IF($H14=$I14,"yes","no"))</f>
        <v/>
      </c>
      <c r="K14" s="16">
        <f>IF($C14="","",IFERROR(INDEX(Ledger!$I$2:$I$45,MATCH($C14,Ledger!$A$2:$A$45,0)),""))</f>
        <v/>
      </c>
      <c r="L14" s="18">
        <f>IF($C14="","",IF(OR($G14="no",$J14="no"),"FAIL",IF($K14="no","INFO","REVIEW")))</f>
        <v/>
      </c>
    </row>
    <row r="15">
      <c r="A15" s="16" t="n"/>
      <c r="B15" s="14" t="n"/>
      <c r="C15" s="16" t="n"/>
      <c r="D15" s="17" t="n"/>
      <c r="E15" s="16" t="n"/>
      <c r="F15" s="17">
        <f>IF(OR($C15="",$E15=""),"",IFERROR(IF($E15="Percent",INDEX(Ledger!$F$2:$F$45,MATCH($C15,Ledger!$A$2:$A$45,0))*100,INDEX(Ledger!$C$2:$E$45,MATCH($C15,Ledger!$A$2:$A$45,0),MATCH($E15,{"Prior","Current","Change"},0))),""))</f>
        <v/>
      </c>
      <c r="G15" s="16">
        <f>IF(OR($D15="",$F15=""),"",IF(ABS(ABS($D15)-ABS($F15))&lt;=IF($E15="Percent",Settings!$B$8,Settings!$B$7),"yes","no"))</f>
        <v/>
      </c>
      <c r="H15" s="16" t="n"/>
      <c r="I15" s="16">
        <f>IF($C15="","",IFERROR(IF(INDEX(Ledger!$E$2:$E$45,MATCH($C15,Ledger!$A$2:$A$45,0))="","",IF(INDEX(Ledger!$E$2:$E$45,MATCH($C15,Ledger!$A$2:$A$45,0))&gt;0,"up",IF(INDEX(Ledger!$E$2:$E$45,MATCH($C15,Ledger!$A$2:$A$45,0))&lt;0,"down","none"))),""))</f>
        <v/>
      </c>
      <c r="J15" s="16">
        <f>IF(OR($H15="",$H15="none",$I15=""),"",IF($H15=$I15,"yes","no"))</f>
        <v/>
      </c>
      <c r="K15" s="16">
        <f>IF($C15="","",IFERROR(INDEX(Ledger!$I$2:$I$45,MATCH($C15,Ledger!$A$2:$A$45,0)),""))</f>
        <v/>
      </c>
      <c r="L15" s="18">
        <f>IF($C15="","",IF(OR($G15="no",$J15="no"),"FAIL",IF($K15="no","INFO","REVIEW")))</f>
        <v/>
      </c>
    </row>
    <row r="16">
      <c r="A16" s="16" t="n"/>
      <c r="B16" s="14" t="n"/>
      <c r="C16" s="16" t="n"/>
      <c r="D16" s="17" t="n"/>
      <c r="E16" s="16" t="n"/>
      <c r="F16" s="17">
        <f>IF(OR($C16="",$E16=""),"",IFERROR(IF($E16="Percent",INDEX(Ledger!$F$2:$F$45,MATCH($C16,Ledger!$A$2:$A$45,0))*100,INDEX(Ledger!$C$2:$E$45,MATCH($C16,Ledger!$A$2:$A$45,0),MATCH($E16,{"Prior","Current","Change"},0))),""))</f>
        <v/>
      </c>
      <c r="G16" s="16">
        <f>IF(OR($D16="",$F16=""),"",IF(ABS(ABS($D16)-ABS($F16))&lt;=IF($E16="Percent",Settings!$B$8,Settings!$B$7),"yes","no"))</f>
        <v/>
      </c>
      <c r="H16" s="16" t="n"/>
      <c r="I16" s="16">
        <f>IF($C16="","",IFERROR(IF(INDEX(Ledger!$E$2:$E$45,MATCH($C16,Ledger!$A$2:$A$45,0))="","",IF(INDEX(Ledger!$E$2:$E$45,MATCH($C16,Ledger!$A$2:$A$45,0))&gt;0,"up",IF(INDEX(Ledger!$E$2:$E$45,MATCH($C16,Ledger!$A$2:$A$45,0))&lt;0,"down","none"))),""))</f>
        <v/>
      </c>
      <c r="J16" s="16">
        <f>IF(OR($H16="",$H16="none",$I16=""),"",IF($H16=$I16,"yes","no"))</f>
        <v/>
      </c>
      <c r="K16" s="16">
        <f>IF($C16="","",IFERROR(INDEX(Ledger!$I$2:$I$45,MATCH($C16,Ledger!$A$2:$A$45,0)),""))</f>
        <v/>
      </c>
      <c r="L16" s="18">
        <f>IF($C16="","",IF(OR($G16="no",$J16="no"),"FAIL",IF($K16="no","INFO","REVIEW")))</f>
        <v/>
      </c>
    </row>
    <row r="17">
      <c r="A17" s="16" t="n"/>
      <c r="B17" s="14" t="n"/>
      <c r="C17" s="16" t="n"/>
      <c r="D17" s="17" t="n"/>
      <c r="E17" s="16" t="n"/>
      <c r="F17" s="17">
        <f>IF(OR($C17="",$E17=""),"",IFERROR(IF($E17="Percent",INDEX(Ledger!$F$2:$F$45,MATCH($C17,Ledger!$A$2:$A$45,0))*100,INDEX(Ledger!$C$2:$E$45,MATCH($C17,Ledger!$A$2:$A$45,0),MATCH($E17,{"Prior","Current","Change"},0))),""))</f>
        <v/>
      </c>
      <c r="G17" s="16">
        <f>IF(OR($D17="",$F17=""),"",IF(ABS(ABS($D17)-ABS($F17))&lt;=IF($E17="Percent",Settings!$B$8,Settings!$B$7),"yes","no"))</f>
        <v/>
      </c>
      <c r="H17" s="16" t="n"/>
      <c r="I17" s="16">
        <f>IF($C17="","",IFERROR(IF(INDEX(Ledger!$E$2:$E$45,MATCH($C17,Ledger!$A$2:$A$45,0))="","",IF(INDEX(Ledger!$E$2:$E$45,MATCH($C17,Ledger!$A$2:$A$45,0))&gt;0,"up",IF(INDEX(Ledger!$E$2:$E$45,MATCH($C17,Ledger!$A$2:$A$45,0))&lt;0,"down","none"))),""))</f>
        <v/>
      </c>
      <c r="J17" s="16">
        <f>IF(OR($H17="",$H17="none",$I17=""),"",IF($H17=$I17,"yes","no"))</f>
        <v/>
      </c>
      <c r="K17" s="16">
        <f>IF($C17="","",IFERROR(INDEX(Ledger!$I$2:$I$45,MATCH($C17,Ledger!$A$2:$A$45,0)),""))</f>
        <v/>
      </c>
      <c r="L17" s="18">
        <f>IF($C17="","",IF(OR($G17="no",$J17="no"),"FAIL",IF($K17="no","INFO","REVIEW")))</f>
        <v/>
      </c>
    </row>
    <row r="18">
      <c r="A18" s="16" t="n"/>
      <c r="B18" s="14" t="n"/>
      <c r="C18" s="16" t="n"/>
      <c r="D18" s="17" t="n"/>
      <c r="E18" s="16" t="n"/>
      <c r="F18" s="17">
        <f>IF(OR($C18="",$E18=""),"",IFERROR(IF($E18="Percent",INDEX(Ledger!$F$2:$F$45,MATCH($C18,Ledger!$A$2:$A$45,0))*100,INDEX(Ledger!$C$2:$E$45,MATCH($C18,Ledger!$A$2:$A$45,0),MATCH($E18,{"Prior","Current","Change"},0))),""))</f>
        <v/>
      </c>
      <c r="G18" s="16">
        <f>IF(OR($D18="",$F18=""),"",IF(ABS(ABS($D18)-ABS($F18))&lt;=IF($E18="Percent",Settings!$B$8,Settings!$B$7),"yes","no"))</f>
        <v/>
      </c>
      <c r="H18" s="16" t="n"/>
      <c r="I18" s="16">
        <f>IF($C18="","",IFERROR(IF(INDEX(Ledger!$E$2:$E$45,MATCH($C18,Ledger!$A$2:$A$45,0))="","",IF(INDEX(Ledger!$E$2:$E$45,MATCH($C18,Ledger!$A$2:$A$45,0))&gt;0,"up",IF(INDEX(Ledger!$E$2:$E$45,MATCH($C18,Ledger!$A$2:$A$45,0))&lt;0,"down","none"))),""))</f>
        <v/>
      </c>
      <c r="J18" s="16">
        <f>IF(OR($H18="",$H18="none",$I18=""),"",IF($H18=$I18,"yes","no"))</f>
        <v/>
      </c>
      <c r="K18" s="16">
        <f>IF($C18="","",IFERROR(INDEX(Ledger!$I$2:$I$45,MATCH($C18,Ledger!$A$2:$A$45,0)),""))</f>
        <v/>
      </c>
      <c r="L18" s="18">
        <f>IF($C18="","",IF(OR($G18="no",$J18="no"),"FAIL",IF($K18="no","INFO","REVIEW")))</f>
        <v/>
      </c>
    </row>
    <row r="19">
      <c r="A19" s="16" t="n"/>
      <c r="B19" s="14" t="n"/>
      <c r="C19" s="16" t="n"/>
      <c r="D19" s="17" t="n"/>
      <c r="E19" s="16" t="n"/>
      <c r="F19" s="17">
        <f>IF(OR($C19="",$E19=""),"",IFERROR(IF($E19="Percent",INDEX(Ledger!$F$2:$F$45,MATCH($C19,Ledger!$A$2:$A$45,0))*100,INDEX(Ledger!$C$2:$E$45,MATCH($C19,Ledger!$A$2:$A$45,0),MATCH($E19,{"Prior","Current","Change"},0))),""))</f>
        <v/>
      </c>
      <c r="G19" s="16">
        <f>IF(OR($D19="",$F19=""),"",IF(ABS(ABS($D19)-ABS($F19))&lt;=IF($E19="Percent",Settings!$B$8,Settings!$B$7),"yes","no"))</f>
        <v/>
      </c>
      <c r="H19" s="16" t="n"/>
      <c r="I19" s="16">
        <f>IF($C19="","",IFERROR(IF(INDEX(Ledger!$E$2:$E$45,MATCH($C19,Ledger!$A$2:$A$45,0))="","",IF(INDEX(Ledger!$E$2:$E$45,MATCH($C19,Ledger!$A$2:$A$45,0))&gt;0,"up",IF(INDEX(Ledger!$E$2:$E$45,MATCH($C19,Ledger!$A$2:$A$45,0))&lt;0,"down","none"))),""))</f>
        <v/>
      </c>
      <c r="J19" s="16">
        <f>IF(OR($H19="",$H19="none",$I19=""),"",IF($H19=$I19,"yes","no"))</f>
        <v/>
      </c>
      <c r="K19" s="16">
        <f>IF($C19="","",IFERROR(INDEX(Ledger!$I$2:$I$45,MATCH($C19,Ledger!$A$2:$A$45,0)),""))</f>
        <v/>
      </c>
      <c r="L19" s="18">
        <f>IF($C19="","",IF(OR($G19="no",$J19="no"),"FAIL",IF($K19="no","INFO","REVIEW")))</f>
        <v/>
      </c>
    </row>
    <row r="20">
      <c r="A20" s="16" t="n"/>
      <c r="B20" s="14" t="n"/>
      <c r="C20" s="16" t="n"/>
      <c r="D20" s="17" t="n"/>
      <c r="E20" s="16" t="n"/>
      <c r="F20" s="17">
        <f>IF(OR($C20="",$E20=""),"",IFERROR(IF($E20="Percent",INDEX(Ledger!$F$2:$F$45,MATCH($C20,Ledger!$A$2:$A$45,0))*100,INDEX(Ledger!$C$2:$E$45,MATCH($C20,Ledger!$A$2:$A$45,0),MATCH($E20,{"Prior","Current","Change"},0))),""))</f>
        <v/>
      </c>
      <c r="G20" s="16">
        <f>IF(OR($D20="",$F20=""),"",IF(ABS(ABS($D20)-ABS($F20))&lt;=IF($E20="Percent",Settings!$B$8,Settings!$B$7),"yes","no"))</f>
        <v/>
      </c>
      <c r="H20" s="16" t="n"/>
      <c r="I20" s="16">
        <f>IF($C20="","",IFERROR(IF(INDEX(Ledger!$E$2:$E$45,MATCH($C20,Ledger!$A$2:$A$45,0))="","",IF(INDEX(Ledger!$E$2:$E$45,MATCH($C20,Ledger!$A$2:$A$45,0))&gt;0,"up",IF(INDEX(Ledger!$E$2:$E$45,MATCH($C20,Ledger!$A$2:$A$45,0))&lt;0,"down","none"))),""))</f>
        <v/>
      </c>
      <c r="J20" s="16">
        <f>IF(OR($H20="",$H20="none",$I20=""),"",IF($H20=$I20,"yes","no"))</f>
        <v/>
      </c>
      <c r="K20" s="16">
        <f>IF($C20="","",IFERROR(INDEX(Ledger!$I$2:$I$45,MATCH($C20,Ledger!$A$2:$A$45,0)),""))</f>
        <v/>
      </c>
      <c r="L20" s="18">
        <f>IF($C20="","",IF(OR($G20="no",$J20="no"),"FAIL",IF($K20="no","INFO","REVIEW")))</f>
        <v/>
      </c>
    </row>
    <row r="21">
      <c r="A21" s="16" t="n"/>
      <c r="B21" s="14" t="n"/>
      <c r="C21" s="16" t="n"/>
      <c r="D21" s="17" t="n"/>
      <c r="E21" s="16" t="n"/>
      <c r="F21" s="17">
        <f>IF(OR($C21="",$E21=""),"",IFERROR(IF($E21="Percent",INDEX(Ledger!$F$2:$F$45,MATCH($C21,Ledger!$A$2:$A$45,0))*100,INDEX(Ledger!$C$2:$E$45,MATCH($C21,Ledger!$A$2:$A$45,0),MATCH($E21,{"Prior","Current","Change"},0))),""))</f>
        <v/>
      </c>
      <c r="G21" s="16">
        <f>IF(OR($D21="",$F21=""),"",IF(ABS(ABS($D21)-ABS($F21))&lt;=IF($E21="Percent",Settings!$B$8,Settings!$B$7),"yes","no"))</f>
        <v/>
      </c>
      <c r="H21" s="16" t="n"/>
      <c r="I21" s="16">
        <f>IF($C21="","",IFERROR(IF(INDEX(Ledger!$E$2:$E$45,MATCH($C21,Ledger!$A$2:$A$45,0))="","",IF(INDEX(Ledger!$E$2:$E$45,MATCH($C21,Ledger!$A$2:$A$45,0))&gt;0,"up",IF(INDEX(Ledger!$E$2:$E$45,MATCH($C21,Ledger!$A$2:$A$45,0))&lt;0,"down","none"))),""))</f>
        <v/>
      </c>
      <c r="J21" s="16">
        <f>IF(OR($H21="",$H21="none",$I21=""),"",IF($H21=$I21,"yes","no"))</f>
        <v/>
      </c>
      <c r="K21" s="16">
        <f>IF($C21="","",IFERROR(INDEX(Ledger!$I$2:$I$45,MATCH($C21,Ledger!$A$2:$A$45,0)),""))</f>
        <v/>
      </c>
      <c r="L21" s="18">
        <f>IF($C21="","",IF(OR($G21="no",$J21="no"),"FAIL",IF($K21="no","INFO","REVIEW")))</f>
        <v/>
      </c>
    </row>
    <row r="22">
      <c r="A22" s="16" t="n"/>
      <c r="B22" s="14" t="n"/>
      <c r="C22" s="16" t="n"/>
      <c r="D22" s="17" t="n"/>
      <c r="E22" s="16" t="n"/>
      <c r="F22" s="17">
        <f>IF(OR($C22="",$E22=""),"",IFERROR(IF($E22="Percent",INDEX(Ledger!$F$2:$F$45,MATCH($C22,Ledger!$A$2:$A$45,0))*100,INDEX(Ledger!$C$2:$E$45,MATCH($C22,Ledger!$A$2:$A$45,0),MATCH($E22,{"Prior","Current","Change"},0))),""))</f>
        <v/>
      </c>
      <c r="G22" s="16">
        <f>IF(OR($D22="",$F22=""),"",IF(ABS(ABS($D22)-ABS($F22))&lt;=IF($E22="Percent",Settings!$B$8,Settings!$B$7),"yes","no"))</f>
        <v/>
      </c>
      <c r="H22" s="16" t="n"/>
      <c r="I22" s="16">
        <f>IF($C22="","",IFERROR(IF(INDEX(Ledger!$E$2:$E$45,MATCH($C22,Ledger!$A$2:$A$45,0))="","",IF(INDEX(Ledger!$E$2:$E$45,MATCH($C22,Ledger!$A$2:$A$45,0))&gt;0,"up",IF(INDEX(Ledger!$E$2:$E$45,MATCH($C22,Ledger!$A$2:$A$45,0))&lt;0,"down","none"))),""))</f>
        <v/>
      </c>
      <c r="J22" s="16">
        <f>IF(OR($H22="",$H22="none",$I22=""),"",IF($H22=$I22,"yes","no"))</f>
        <v/>
      </c>
      <c r="K22" s="16">
        <f>IF($C22="","",IFERROR(INDEX(Ledger!$I$2:$I$45,MATCH($C22,Ledger!$A$2:$A$45,0)),""))</f>
        <v/>
      </c>
      <c r="L22" s="18">
        <f>IF($C22="","",IF(OR($G22="no",$J22="no"),"FAIL",IF($K22="no","INFO","REVIEW")))</f>
        <v/>
      </c>
    </row>
    <row r="23">
      <c r="A23" s="16" t="n"/>
      <c r="B23" s="14" t="n"/>
      <c r="C23" s="16" t="n"/>
      <c r="D23" s="17" t="n"/>
      <c r="E23" s="16" t="n"/>
      <c r="F23" s="17">
        <f>IF(OR($C23="",$E23=""),"",IFERROR(IF($E23="Percent",INDEX(Ledger!$F$2:$F$45,MATCH($C23,Ledger!$A$2:$A$45,0))*100,INDEX(Ledger!$C$2:$E$45,MATCH($C23,Ledger!$A$2:$A$45,0),MATCH($E23,{"Prior","Current","Change"},0))),""))</f>
        <v/>
      </c>
      <c r="G23" s="16">
        <f>IF(OR($D23="",$F23=""),"",IF(ABS(ABS($D23)-ABS($F23))&lt;=IF($E23="Percent",Settings!$B$8,Settings!$B$7),"yes","no"))</f>
        <v/>
      </c>
      <c r="H23" s="16" t="n"/>
      <c r="I23" s="16">
        <f>IF($C23="","",IFERROR(IF(INDEX(Ledger!$E$2:$E$45,MATCH($C23,Ledger!$A$2:$A$45,0))="","",IF(INDEX(Ledger!$E$2:$E$45,MATCH($C23,Ledger!$A$2:$A$45,0))&gt;0,"up",IF(INDEX(Ledger!$E$2:$E$45,MATCH($C23,Ledger!$A$2:$A$45,0))&lt;0,"down","none"))),""))</f>
        <v/>
      </c>
      <c r="J23" s="16">
        <f>IF(OR($H23="",$H23="none",$I23=""),"",IF($H23=$I23,"yes","no"))</f>
        <v/>
      </c>
      <c r="K23" s="16">
        <f>IF($C23="","",IFERROR(INDEX(Ledger!$I$2:$I$45,MATCH($C23,Ledger!$A$2:$A$45,0)),""))</f>
        <v/>
      </c>
      <c r="L23" s="18">
        <f>IF($C23="","",IF(OR($G23="no",$J23="no"),"FAIL",IF($K23="no","INFO","REVIEW")))</f>
        <v/>
      </c>
    </row>
    <row r="24">
      <c r="A24" s="16" t="n"/>
      <c r="B24" s="14" t="n"/>
      <c r="C24" s="16" t="n"/>
      <c r="D24" s="17" t="n"/>
      <c r="E24" s="16" t="n"/>
      <c r="F24" s="17">
        <f>IF(OR($C24="",$E24=""),"",IFERROR(IF($E24="Percent",INDEX(Ledger!$F$2:$F$45,MATCH($C24,Ledger!$A$2:$A$45,0))*100,INDEX(Ledger!$C$2:$E$45,MATCH($C24,Ledger!$A$2:$A$45,0),MATCH($E24,{"Prior","Current","Change"},0))),""))</f>
        <v/>
      </c>
      <c r="G24" s="16">
        <f>IF(OR($D24="",$F24=""),"",IF(ABS(ABS($D24)-ABS($F24))&lt;=IF($E24="Percent",Settings!$B$8,Settings!$B$7),"yes","no"))</f>
        <v/>
      </c>
      <c r="H24" s="16" t="n"/>
      <c r="I24" s="16">
        <f>IF($C24="","",IFERROR(IF(INDEX(Ledger!$E$2:$E$45,MATCH($C24,Ledger!$A$2:$A$45,0))="","",IF(INDEX(Ledger!$E$2:$E$45,MATCH($C24,Ledger!$A$2:$A$45,0))&gt;0,"up",IF(INDEX(Ledger!$E$2:$E$45,MATCH($C24,Ledger!$A$2:$A$45,0))&lt;0,"down","none"))),""))</f>
        <v/>
      </c>
      <c r="J24" s="16">
        <f>IF(OR($H24="",$H24="none",$I24=""),"",IF($H24=$I24,"yes","no"))</f>
        <v/>
      </c>
      <c r="K24" s="16">
        <f>IF($C24="","",IFERROR(INDEX(Ledger!$I$2:$I$45,MATCH($C24,Ledger!$A$2:$A$45,0)),""))</f>
        <v/>
      </c>
      <c r="L24" s="18">
        <f>IF($C24="","",IF(OR($G24="no",$J24="no"),"FAIL",IF($K24="no","INFO","REVIEW")))</f>
        <v/>
      </c>
    </row>
    <row r="25">
      <c r="A25" s="16" t="n"/>
      <c r="B25" s="14" t="n"/>
      <c r="C25" s="16" t="n"/>
      <c r="D25" s="17" t="n"/>
      <c r="E25" s="16" t="n"/>
      <c r="F25" s="17">
        <f>IF(OR($C25="",$E25=""),"",IFERROR(IF($E25="Percent",INDEX(Ledger!$F$2:$F$45,MATCH($C25,Ledger!$A$2:$A$45,0))*100,INDEX(Ledger!$C$2:$E$45,MATCH($C25,Ledger!$A$2:$A$45,0),MATCH($E25,{"Prior","Current","Change"},0))),""))</f>
        <v/>
      </c>
      <c r="G25" s="16">
        <f>IF(OR($D25="",$F25=""),"",IF(ABS(ABS($D25)-ABS($F25))&lt;=IF($E25="Percent",Settings!$B$8,Settings!$B$7),"yes","no"))</f>
        <v/>
      </c>
      <c r="H25" s="16" t="n"/>
      <c r="I25" s="16">
        <f>IF($C25="","",IFERROR(IF(INDEX(Ledger!$E$2:$E$45,MATCH($C25,Ledger!$A$2:$A$45,0))="","",IF(INDEX(Ledger!$E$2:$E$45,MATCH($C25,Ledger!$A$2:$A$45,0))&gt;0,"up",IF(INDEX(Ledger!$E$2:$E$45,MATCH($C25,Ledger!$A$2:$A$45,0))&lt;0,"down","none"))),""))</f>
        <v/>
      </c>
      <c r="J25" s="16">
        <f>IF(OR($H25="",$H25="none",$I25=""),"",IF($H25=$I25,"yes","no"))</f>
        <v/>
      </c>
      <c r="K25" s="16">
        <f>IF($C25="","",IFERROR(INDEX(Ledger!$I$2:$I$45,MATCH($C25,Ledger!$A$2:$A$45,0)),""))</f>
        <v/>
      </c>
      <c r="L25" s="18">
        <f>IF($C25="","",IF(OR($G25="no",$J25="no"),"FAIL",IF($K25="no","INFO","REVIEW")))</f>
        <v/>
      </c>
    </row>
    <row r="26">
      <c r="A26" s="16" t="n"/>
      <c r="B26" s="14" t="n"/>
      <c r="C26" s="16" t="n"/>
      <c r="D26" s="17" t="n"/>
      <c r="E26" s="16" t="n"/>
      <c r="F26" s="17">
        <f>IF(OR($C26="",$E26=""),"",IFERROR(IF($E26="Percent",INDEX(Ledger!$F$2:$F$45,MATCH($C26,Ledger!$A$2:$A$45,0))*100,INDEX(Ledger!$C$2:$E$45,MATCH($C26,Ledger!$A$2:$A$45,0),MATCH($E26,{"Prior","Current","Change"},0))),""))</f>
        <v/>
      </c>
      <c r="G26" s="16">
        <f>IF(OR($D26="",$F26=""),"",IF(ABS(ABS($D26)-ABS($F26))&lt;=IF($E26="Percent",Settings!$B$8,Settings!$B$7),"yes","no"))</f>
        <v/>
      </c>
      <c r="H26" s="16" t="n"/>
      <c r="I26" s="16">
        <f>IF($C26="","",IFERROR(IF(INDEX(Ledger!$E$2:$E$45,MATCH($C26,Ledger!$A$2:$A$45,0))="","",IF(INDEX(Ledger!$E$2:$E$45,MATCH($C26,Ledger!$A$2:$A$45,0))&gt;0,"up",IF(INDEX(Ledger!$E$2:$E$45,MATCH($C26,Ledger!$A$2:$A$45,0))&lt;0,"down","none"))),""))</f>
        <v/>
      </c>
      <c r="J26" s="16">
        <f>IF(OR($H26="",$H26="none",$I26=""),"",IF($H26=$I26,"yes","no"))</f>
        <v/>
      </c>
      <c r="K26" s="16">
        <f>IF($C26="","",IFERROR(INDEX(Ledger!$I$2:$I$45,MATCH($C26,Ledger!$A$2:$A$45,0)),""))</f>
        <v/>
      </c>
      <c r="L26" s="18">
        <f>IF($C26="","",IF(OR($G26="no",$J26="no"),"FAIL",IF($K26="no","INFO","REVIEW")))</f>
        <v/>
      </c>
    </row>
    <row r="27">
      <c r="A27" s="16" t="n"/>
      <c r="B27" s="14" t="n"/>
      <c r="C27" s="16" t="n"/>
      <c r="D27" s="17" t="n"/>
      <c r="E27" s="16" t="n"/>
      <c r="F27" s="17">
        <f>IF(OR($C27="",$E27=""),"",IFERROR(IF($E27="Percent",INDEX(Ledger!$F$2:$F$45,MATCH($C27,Ledger!$A$2:$A$45,0))*100,INDEX(Ledger!$C$2:$E$45,MATCH($C27,Ledger!$A$2:$A$45,0),MATCH($E27,{"Prior","Current","Change"},0))),""))</f>
        <v/>
      </c>
      <c r="G27" s="16">
        <f>IF(OR($D27="",$F27=""),"",IF(ABS(ABS($D27)-ABS($F27))&lt;=IF($E27="Percent",Settings!$B$8,Settings!$B$7),"yes","no"))</f>
        <v/>
      </c>
      <c r="H27" s="16" t="n"/>
      <c r="I27" s="16">
        <f>IF($C27="","",IFERROR(IF(INDEX(Ledger!$E$2:$E$45,MATCH($C27,Ledger!$A$2:$A$45,0))="","",IF(INDEX(Ledger!$E$2:$E$45,MATCH($C27,Ledger!$A$2:$A$45,0))&gt;0,"up",IF(INDEX(Ledger!$E$2:$E$45,MATCH($C27,Ledger!$A$2:$A$45,0))&lt;0,"down","none"))),""))</f>
        <v/>
      </c>
      <c r="J27" s="16">
        <f>IF(OR($H27="",$H27="none",$I27=""),"",IF($H27=$I27,"yes","no"))</f>
        <v/>
      </c>
      <c r="K27" s="16">
        <f>IF($C27="","",IFERROR(INDEX(Ledger!$I$2:$I$45,MATCH($C27,Ledger!$A$2:$A$45,0)),""))</f>
        <v/>
      </c>
      <c r="L27" s="18">
        <f>IF($C27="","",IF(OR($G27="no",$J27="no"),"FAIL",IF($K27="no","INFO","REVIEW")))</f>
        <v/>
      </c>
    </row>
    <row r="28">
      <c r="A28" s="16" t="n"/>
      <c r="B28" s="14" t="n"/>
      <c r="C28" s="16" t="n"/>
      <c r="D28" s="17" t="n"/>
      <c r="E28" s="16" t="n"/>
      <c r="F28" s="17">
        <f>IF(OR($C28="",$E28=""),"",IFERROR(IF($E28="Percent",INDEX(Ledger!$F$2:$F$45,MATCH($C28,Ledger!$A$2:$A$45,0))*100,INDEX(Ledger!$C$2:$E$45,MATCH($C28,Ledger!$A$2:$A$45,0),MATCH($E28,{"Prior","Current","Change"},0))),""))</f>
        <v/>
      </c>
      <c r="G28" s="16">
        <f>IF(OR($D28="",$F28=""),"",IF(ABS(ABS($D28)-ABS($F28))&lt;=IF($E28="Percent",Settings!$B$8,Settings!$B$7),"yes","no"))</f>
        <v/>
      </c>
      <c r="H28" s="16" t="n"/>
      <c r="I28" s="16">
        <f>IF($C28="","",IFERROR(IF(INDEX(Ledger!$E$2:$E$45,MATCH($C28,Ledger!$A$2:$A$45,0))="","",IF(INDEX(Ledger!$E$2:$E$45,MATCH($C28,Ledger!$A$2:$A$45,0))&gt;0,"up",IF(INDEX(Ledger!$E$2:$E$45,MATCH($C28,Ledger!$A$2:$A$45,0))&lt;0,"down","none"))),""))</f>
        <v/>
      </c>
      <c r="J28" s="16">
        <f>IF(OR($H28="",$H28="none",$I28=""),"",IF($H28=$I28,"yes","no"))</f>
        <v/>
      </c>
      <c r="K28" s="16">
        <f>IF($C28="","",IFERROR(INDEX(Ledger!$I$2:$I$45,MATCH($C28,Ledger!$A$2:$A$45,0)),""))</f>
        <v/>
      </c>
      <c r="L28" s="18">
        <f>IF($C28="","",IF(OR($G28="no",$J28="no"),"FAIL",IF($K28="no","INFO","REVIEW")))</f>
        <v/>
      </c>
    </row>
    <row r="29">
      <c r="A29" s="16" t="n"/>
      <c r="B29" s="14" t="n"/>
      <c r="C29" s="16" t="n"/>
      <c r="D29" s="17" t="n"/>
      <c r="E29" s="16" t="n"/>
      <c r="F29" s="17">
        <f>IF(OR($C29="",$E29=""),"",IFERROR(IF($E29="Percent",INDEX(Ledger!$F$2:$F$45,MATCH($C29,Ledger!$A$2:$A$45,0))*100,INDEX(Ledger!$C$2:$E$45,MATCH($C29,Ledger!$A$2:$A$45,0),MATCH($E29,{"Prior","Current","Change"},0))),""))</f>
        <v/>
      </c>
      <c r="G29" s="16">
        <f>IF(OR($D29="",$F29=""),"",IF(ABS(ABS($D29)-ABS($F29))&lt;=IF($E29="Percent",Settings!$B$8,Settings!$B$7),"yes","no"))</f>
        <v/>
      </c>
      <c r="H29" s="16" t="n"/>
      <c r="I29" s="16">
        <f>IF($C29="","",IFERROR(IF(INDEX(Ledger!$E$2:$E$45,MATCH($C29,Ledger!$A$2:$A$45,0))="","",IF(INDEX(Ledger!$E$2:$E$45,MATCH($C29,Ledger!$A$2:$A$45,0))&gt;0,"up",IF(INDEX(Ledger!$E$2:$E$45,MATCH($C29,Ledger!$A$2:$A$45,0))&lt;0,"down","none"))),""))</f>
        <v/>
      </c>
      <c r="J29" s="16">
        <f>IF(OR($H29="",$H29="none",$I29=""),"",IF($H29=$I29,"yes","no"))</f>
        <v/>
      </c>
      <c r="K29" s="16">
        <f>IF($C29="","",IFERROR(INDEX(Ledger!$I$2:$I$45,MATCH($C29,Ledger!$A$2:$A$45,0)),""))</f>
        <v/>
      </c>
      <c r="L29" s="18">
        <f>IF($C29="","",IF(OR($G29="no",$J29="no"),"FAIL",IF($K29="no","INFO","REVIEW")))</f>
        <v/>
      </c>
    </row>
    <row r="30">
      <c r="A30" s="16" t="n"/>
      <c r="B30" s="14" t="n"/>
      <c r="C30" s="16" t="n"/>
      <c r="D30" s="17" t="n"/>
      <c r="E30" s="16" t="n"/>
      <c r="F30" s="17">
        <f>IF(OR($C30="",$E30=""),"",IFERROR(IF($E30="Percent",INDEX(Ledger!$F$2:$F$45,MATCH($C30,Ledger!$A$2:$A$45,0))*100,INDEX(Ledger!$C$2:$E$45,MATCH($C30,Ledger!$A$2:$A$45,0),MATCH($E30,{"Prior","Current","Change"},0))),""))</f>
        <v/>
      </c>
      <c r="G30" s="16">
        <f>IF(OR($D30="",$F30=""),"",IF(ABS(ABS($D30)-ABS($F30))&lt;=IF($E30="Percent",Settings!$B$8,Settings!$B$7),"yes","no"))</f>
        <v/>
      </c>
      <c r="H30" s="16" t="n"/>
      <c r="I30" s="16">
        <f>IF($C30="","",IFERROR(IF(INDEX(Ledger!$E$2:$E$45,MATCH($C30,Ledger!$A$2:$A$45,0))="","",IF(INDEX(Ledger!$E$2:$E$45,MATCH($C30,Ledger!$A$2:$A$45,0))&gt;0,"up",IF(INDEX(Ledger!$E$2:$E$45,MATCH($C30,Ledger!$A$2:$A$45,0))&lt;0,"down","none"))),""))</f>
        <v/>
      </c>
      <c r="J30" s="16">
        <f>IF(OR($H30="",$H30="none",$I30=""),"",IF($H30=$I30,"yes","no"))</f>
        <v/>
      </c>
      <c r="K30" s="16">
        <f>IF($C30="","",IFERROR(INDEX(Ledger!$I$2:$I$45,MATCH($C30,Ledger!$A$2:$A$45,0)),""))</f>
        <v/>
      </c>
      <c r="L30" s="18">
        <f>IF($C30="","",IF(OR($G30="no",$J30="no"),"FAIL",IF($K30="no","INFO","REVIEW")))</f>
        <v/>
      </c>
    </row>
    <row r="31">
      <c r="A31" s="16" t="n"/>
      <c r="B31" s="14" t="n"/>
      <c r="C31" s="16" t="n"/>
      <c r="D31" s="17" t="n"/>
      <c r="E31" s="16" t="n"/>
      <c r="F31" s="17">
        <f>IF(OR($C31="",$E31=""),"",IFERROR(IF($E31="Percent",INDEX(Ledger!$F$2:$F$45,MATCH($C31,Ledger!$A$2:$A$45,0))*100,INDEX(Ledger!$C$2:$E$45,MATCH($C31,Ledger!$A$2:$A$45,0),MATCH($E31,{"Prior","Current","Change"},0))),""))</f>
        <v/>
      </c>
      <c r="G31" s="16">
        <f>IF(OR($D31="",$F31=""),"",IF(ABS(ABS($D31)-ABS($F31))&lt;=IF($E31="Percent",Settings!$B$8,Settings!$B$7),"yes","no"))</f>
        <v/>
      </c>
      <c r="H31" s="16" t="n"/>
      <c r="I31" s="16">
        <f>IF($C31="","",IFERROR(IF(INDEX(Ledger!$E$2:$E$45,MATCH($C31,Ledger!$A$2:$A$45,0))="","",IF(INDEX(Ledger!$E$2:$E$45,MATCH($C31,Ledger!$A$2:$A$45,0))&gt;0,"up",IF(INDEX(Ledger!$E$2:$E$45,MATCH($C31,Ledger!$A$2:$A$45,0))&lt;0,"down","none"))),""))</f>
        <v/>
      </c>
      <c r="J31" s="16">
        <f>IF(OR($H31="",$H31="none",$I31=""),"",IF($H31=$I31,"yes","no"))</f>
        <v/>
      </c>
      <c r="K31" s="16">
        <f>IF($C31="","",IFERROR(INDEX(Ledger!$I$2:$I$45,MATCH($C31,Ledger!$A$2:$A$45,0)),""))</f>
        <v/>
      </c>
      <c r="L31" s="18">
        <f>IF($C31="","",IF(OR($G31="no",$J31="no"),"FAIL",IF($K31="no","INFO","REVIEW")))</f>
        <v/>
      </c>
    </row>
    <row r="32">
      <c r="A32" s="16" t="n"/>
      <c r="B32" s="14" t="n"/>
      <c r="C32" s="16" t="n"/>
      <c r="D32" s="17" t="n"/>
      <c r="E32" s="16" t="n"/>
      <c r="F32" s="17">
        <f>IF(OR($C32="",$E32=""),"",IFERROR(IF($E32="Percent",INDEX(Ledger!$F$2:$F$45,MATCH($C32,Ledger!$A$2:$A$45,0))*100,INDEX(Ledger!$C$2:$E$45,MATCH($C32,Ledger!$A$2:$A$45,0),MATCH($E32,{"Prior","Current","Change"},0))),""))</f>
        <v/>
      </c>
      <c r="G32" s="16">
        <f>IF(OR($D32="",$F32=""),"",IF(ABS(ABS($D32)-ABS($F32))&lt;=IF($E32="Percent",Settings!$B$8,Settings!$B$7),"yes","no"))</f>
        <v/>
      </c>
      <c r="H32" s="16" t="n"/>
      <c r="I32" s="16">
        <f>IF($C32="","",IFERROR(IF(INDEX(Ledger!$E$2:$E$45,MATCH($C32,Ledger!$A$2:$A$45,0))="","",IF(INDEX(Ledger!$E$2:$E$45,MATCH($C32,Ledger!$A$2:$A$45,0))&gt;0,"up",IF(INDEX(Ledger!$E$2:$E$45,MATCH($C32,Ledger!$A$2:$A$45,0))&lt;0,"down","none"))),""))</f>
        <v/>
      </c>
      <c r="J32" s="16">
        <f>IF(OR($H32="",$H32="none",$I32=""),"",IF($H32=$I32,"yes","no"))</f>
        <v/>
      </c>
      <c r="K32" s="16">
        <f>IF($C32="","",IFERROR(INDEX(Ledger!$I$2:$I$45,MATCH($C32,Ledger!$A$2:$A$45,0)),""))</f>
        <v/>
      </c>
      <c r="L32" s="18">
        <f>IF($C32="","",IF(OR($G32="no",$J32="no"),"FAIL",IF($K32="no","INFO","REVIEW")))</f>
        <v/>
      </c>
    </row>
    <row r="33">
      <c r="A33" s="16" t="n"/>
      <c r="B33" s="14" t="n"/>
      <c r="C33" s="16" t="n"/>
      <c r="D33" s="17" t="n"/>
      <c r="E33" s="16" t="n"/>
      <c r="F33" s="17">
        <f>IF(OR($C33="",$E33=""),"",IFERROR(IF($E33="Percent",INDEX(Ledger!$F$2:$F$45,MATCH($C33,Ledger!$A$2:$A$45,0))*100,INDEX(Ledger!$C$2:$E$45,MATCH($C33,Ledger!$A$2:$A$45,0),MATCH($E33,{"Prior","Current","Change"},0))),""))</f>
        <v/>
      </c>
      <c r="G33" s="16">
        <f>IF(OR($D33="",$F33=""),"",IF(ABS(ABS($D33)-ABS($F33))&lt;=IF($E33="Percent",Settings!$B$8,Settings!$B$7),"yes","no"))</f>
        <v/>
      </c>
      <c r="H33" s="16" t="n"/>
      <c r="I33" s="16">
        <f>IF($C33="","",IFERROR(IF(INDEX(Ledger!$E$2:$E$45,MATCH($C33,Ledger!$A$2:$A$45,0))="","",IF(INDEX(Ledger!$E$2:$E$45,MATCH($C33,Ledger!$A$2:$A$45,0))&gt;0,"up",IF(INDEX(Ledger!$E$2:$E$45,MATCH($C33,Ledger!$A$2:$A$45,0))&lt;0,"down","none"))),""))</f>
        <v/>
      </c>
      <c r="J33" s="16">
        <f>IF(OR($H33="",$H33="none",$I33=""),"",IF($H33=$I33,"yes","no"))</f>
        <v/>
      </c>
      <c r="K33" s="16">
        <f>IF($C33="","",IFERROR(INDEX(Ledger!$I$2:$I$45,MATCH($C33,Ledger!$A$2:$A$45,0)),""))</f>
        <v/>
      </c>
      <c r="L33" s="18">
        <f>IF($C33="","",IF(OR($G33="no",$J33="no"),"FAIL",IF($K33="no","INFO","REVIEW")))</f>
        <v/>
      </c>
    </row>
    <row r="34">
      <c r="A34" s="16" t="n"/>
      <c r="B34" s="14" t="n"/>
      <c r="C34" s="16" t="n"/>
      <c r="D34" s="17" t="n"/>
      <c r="E34" s="16" t="n"/>
      <c r="F34" s="17">
        <f>IF(OR($C34="",$E34=""),"",IFERROR(IF($E34="Percent",INDEX(Ledger!$F$2:$F$45,MATCH($C34,Ledger!$A$2:$A$45,0))*100,INDEX(Ledger!$C$2:$E$45,MATCH($C34,Ledger!$A$2:$A$45,0),MATCH($E34,{"Prior","Current","Change"},0))),""))</f>
        <v/>
      </c>
      <c r="G34" s="16">
        <f>IF(OR($D34="",$F34=""),"",IF(ABS(ABS($D34)-ABS($F34))&lt;=IF($E34="Percent",Settings!$B$8,Settings!$B$7),"yes","no"))</f>
        <v/>
      </c>
      <c r="H34" s="16" t="n"/>
      <c r="I34" s="16">
        <f>IF($C34="","",IFERROR(IF(INDEX(Ledger!$E$2:$E$45,MATCH($C34,Ledger!$A$2:$A$45,0))="","",IF(INDEX(Ledger!$E$2:$E$45,MATCH($C34,Ledger!$A$2:$A$45,0))&gt;0,"up",IF(INDEX(Ledger!$E$2:$E$45,MATCH($C34,Ledger!$A$2:$A$45,0))&lt;0,"down","none"))),""))</f>
        <v/>
      </c>
      <c r="J34" s="16">
        <f>IF(OR($H34="",$H34="none",$I34=""),"",IF($H34=$I34,"yes","no"))</f>
        <v/>
      </c>
      <c r="K34" s="16">
        <f>IF($C34="","",IFERROR(INDEX(Ledger!$I$2:$I$45,MATCH($C34,Ledger!$A$2:$A$45,0)),""))</f>
        <v/>
      </c>
      <c r="L34" s="18">
        <f>IF($C34="","",IF(OR($G34="no",$J34="no"),"FAIL",IF($K34="no","INFO","REVIEW")))</f>
        <v/>
      </c>
    </row>
    <row r="35">
      <c r="A35" s="16" t="n"/>
      <c r="B35" s="14" t="n"/>
      <c r="C35" s="16" t="n"/>
      <c r="D35" s="17" t="n"/>
      <c r="E35" s="16" t="n"/>
      <c r="F35" s="17">
        <f>IF(OR($C35="",$E35=""),"",IFERROR(IF($E35="Percent",INDEX(Ledger!$F$2:$F$45,MATCH($C35,Ledger!$A$2:$A$45,0))*100,INDEX(Ledger!$C$2:$E$45,MATCH($C35,Ledger!$A$2:$A$45,0),MATCH($E35,{"Prior","Current","Change"},0))),""))</f>
        <v/>
      </c>
      <c r="G35" s="16">
        <f>IF(OR($D35="",$F35=""),"",IF(ABS(ABS($D35)-ABS($F35))&lt;=IF($E35="Percent",Settings!$B$8,Settings!$B$7),"yes","no"))</f>
        <v/>
      </c>
      <c r="H35" s="16" t="n"/>
      <c r="I35" s="16">
        <f>IF($C35="","",IFERROR(IF(INDEX(Ledger!$E$2:$E$45,MATCH($C35,Ledger!$A$2:$A$45,0))="","",IF(INDEX(Ledger!$E$2:$E$45,MATCH($C35,Ledger!$A$2:$A$45,0))&gt;0,"up",IF(INDEX(Ledger!$E$2:$E$45,MATCH($C35,Ledger!$A$2:$A$45,0))&lt;0,"down","none"))),""))</f>
        <v/>
      </c>
      <c r="J35" s="16">
        <f>IF(OR($H35="",$H35="none",$I35=""),"",IF($H35=$I35,"yes","no"))</f>
        <v/>
      </c>
      <c r="K35" s="16">
        <f>IF($C35="","",IFERROR(INDEX(Ledger!$I$2:$I$45,MATCH($C35,Ledger!$A$2:$A$45,0)),""))</f>
        <v/>
      </c>
      <c r="L35" s="18">
        <f>IF($C35="","",IF(OR($G35="no",$J35="no"),"FAIL",IF($K35="no","INFO","REVIEW")))</f>
        <v/>
      </c>
    </row>
    <row r="36">
      <c r="A36" s="16" t="n"/>
      <c r="B36" s="14" t="n"/>
      <c r="C36" s="16" t="n"/>
      <c r="D36" s="17" t="n"/>
      <c r="E36" s="16" t="n"/>
      <c r="F36" s="17">
        <f>IF(OR($C36="",$E36=""),"",IFERROR(IF($E36="Percent",INDEX(Ledger!$F$2:$F$45,MATCH($C36,Ledger!$A$2:$A$45,0))*100,INDEX(Ledger!$C$2:$E$45,MATCH($C36,Ledger!$A$2:$A$45,0),MATCH($E36,{"Prior","Current","Change"},0))),""))</f>
        <v/>
      </c>
      <c r="G36" s="16">
        <f>IF(OR($D36="",$F36=""),"",IF(ABS(ABS($D36)-ABS($F36))&lt;=IF($E36="Percent",Settings!$B$8,Settings!$B$7),"yes","no"))</f>
        <v/>
      </c>
      <c r="H36" s="16" t="n"/>
      <c r="I36" s="16">
        <f>IF($C36="","",IFERROR(IF(INDEX(Ledger!$E$2:$E$45,MATCH($C36,Ledger!$A$2:$A$45,0))="","",IF(INDEX(Ledger!$E$2:$E$45,MATCH($C36,Ledger!$A$2:$A$45,0))&gt;0,"up",IF(INDEX(Ledger!$E$2:$E$45,MATCH($C36,Ledger!$A$2:$A$45,0))&lt;0,"down","none"))),""))</f>
        <v/>
      </c>
      <c r="J36" s="16">
        <f>IF(OR($H36="",$H36="none",$I36=""),"",IF($H36=$I36,"yes","no"))</f>
        <v/>
      </c>
      <c r="K36" s="16">
        <f>IF($C36="","",IFERROR(INDEX(Ledger!$I$2:$I$45,MATCH($C36,Ledger!$A$2:$A$45,0)),""))</f>
        <v/>
      </c>
      <c r="L36" s="18">
        <f>IF($C36="","",IF(OR($G36="no",$J36="no"),"FAIL",IF($K36="no","INFO","REVIEW")))</f>
        <v/>
      </c>
    </row>
    <row r="37">
      <c r="A37" s="16" t="n"/>
      <c r="B37" s="14" t="n"/>
      <c r="C37" s="16" t="n"/>
      <c r="D37" s="17" t="n"/>
      <c r="E37" s="16" t="n"/>
      <c r="F37" s="17">
        <f>IF(OR($C37="",$E37=""),"",IFERROR(IF($E37="Percent",INDEX(Ledger!$F$2:$F$45,MATCH($C37,Ledger!$A$2:$A$45,0))*100,INDEX(Ledger!$C$2:$E$45,MATCH($C37,Ledger!$A$2:$A$45,0),MATCH($E37,{"Prior","Current","Change"},0))),""))</f>
        <v/>
      </c>
      <c r="G37" s="16">
        <f>IF(OR($D37="",$F37=""),"",IF(ABS(ABS($D37)-ABS($F37))&lt;=IF($E37="Percent",Settings!$B$8,Settings!$B$7),"yes","no"))</f>
        <v/>
      </c>
      <c r="H37" s="16" t="n"/>
      <c r="I37" s="16">
        <f>IF($C37="","",IFERROR(IF(INDEX(Ledger!$E$2:$E$45,MATCH($C37,Ledger!$A$2:$A$45,0))="","",IF(INDEX(Ledger!$E$2:$E$45,MATCH($C37,Ledger!$A$2:$A$45,0))&gt;0,"up",IF(INDEX(Ledger!$E$2:$E$45,MATCH($C37,Ledger!$A$2:$A$45,0))&lt;0,"down","none"))),""))</f>
        <v/>
      </c>
      <c r="J37" s="16">
        <f>IF(OR($H37="",$H37="none",$I37=""),"",IF($H37=$I37,"yes","no"))</f>
        <v/>
      </c>
      <c r="K37" s="16">
        <f>IF($C37="","",IFERROR(INDEX(Ledger!$I$2:$I$45,MATCH($C37,Ledger!$A$2:$A$45,0)),""))</f>
        <v/>
      </c>
      <c r="L37" s="18">
        <f>IF($C37="","",IF(OR($G37="no",$J37="no"),"FAIL",IF($K37="no","INFO","REVIEW")))</f>
        <v/>
      </c>
    </row>
    <row r="38">
      <c r="A38" s="16" t="n"/>
      <c r="B38" s="14" t="n"/>
      <c r="C38" s="16" t="n"/>
      <c r="D38" s="17" t="n"/>
      <c r="E38" s="16" t="n"/>
      <c r="F38" s="17">
        <f>IF(OR($C38="",$E38=""),"",IFERROR(IF($E38="Percent",INDEX(Ledger!$F$2:$F$45,MATCH($C38,Ledger!$A$2:$A$45,0))*100,INDEX(Ledger!$C$2:$E$45,MATCH($C38,Ledger!$A$2:$A$45,0),MATCH($E38,{"Prior","Current","Change"},0))),""))</f>
        <v/>
      </c>
      <c r="G38" s="16">
        <f>IF(OR($D38="",$F38=""),"",IF(ABS(ABS($D38)-ABS($F38))&lt;=IF($E38="Percent",Settings!$B$8,Settings!$B$7),"yes","no"))</f>
        <v/>
      </c>
      <c r="H38" s="16" t="n"/>
      <c r="I38" s="16">
        <f>IF($C38="","",IFERROR(IF(INDEX(Ledger!$E$2:$E$45,MATCH($C38,Ledger!$A$2:$A$45,0))="","",IF(INDEX(Ledger!$E$2:$E$45,MATCH($C38,Ledger!$A$2:$A$45,0))&gt;0,"up",IF(INDEX(Ledger!$E$2:$E$45,MATCH($C38,Ledger!$A$2:$A$45,0))&lt;0,"down","none"))),""))</f>
        <v/>
      </c>
      <c r="J38" s="16">
        <f>IF(OR($H38="",$H38="none",$I38=""),"",IF($H38=$I38,"yes","no"))</f>
        <v/>
      </c>
      <c r="K38" s="16">
        <f>IF($C38="","",IFERROR(INDEX(Ledger!$I$2:$I$45,MATCH($C38,Ledger!$A$2:$A$45,0)),""))</f>
        <v/>
      </c>
      <c r="L38" s="18">
        <f>IF($C38="","",IF(OR($G38="no",$J38="no"),"FAIL",IF($K38="no","INFO","REVIEW")))</f>
        <v/>
      </c>
    </row>
    <row r="39">
      <c r="A39" s="16" t="n"/>
      <c r="B39" s="14" t="n"/>
      <c r="C39" s="16" t="n"/>
      <c r="D39" s="17" t="n"/>
      <c r="E39" s="16" t="n"/>
      <c r="F39" s="17">
        <f>IF(OR($C39="",$E39=""),"",IFERROR(IF($E39="Percent",INDEX(Ledger!$F$2:$F$45,MATCH($C39,Ledger!$A$2:$A$45,0))*100,INDEX(Ledger!$C$2:$E$45,MATCH($C39,Ledger!$A$2:$A$45,0),MATCH($E39,{"Prior","Current","Change"},0))),""))</f>
        <v/>
      </c>
      <c r="G39" s="16">
        <f>IF(OR($D39="",$F39=""),"",IF(ABS(ABS($D39)-ABS($F39))&lt;=IF($E39="Percent",Settings!$B$8,Settings!$B$7),"yes","no"))</f>
        <v/>
      </c>
      <c r="H39" s="16" t="n"/>
      <c r="I39" s="16">
        <f>IF($C39="","",IFERROR(IF(INDEX(Ledger!$E$2:$E$45,MATCH($C39,Ledger!$A$2:$A$45,0))="","",IF(INDEX(Ledger!$E$2:$E$45,MATCH($C39,Ledger!$A$2:$A$45,0))&gt;0,"up",IF(INDEX(Ledger!$E$2:$E$45,MATCH($C39,Ledger!$A$2:$A$45,0))&lt;0,"down","none"))),""))</f>
        <v/>
      </c>
      <c r="J39" s="16">
        <f>IF(OR($H39="",$H39="none",$I39=""),"",IF($H39=$I39,"yes","no"))</f>
        <v/>
      </c>
      <c r="K39" s="16">
        <f>IF($C39="","",IFERROR(INDEX(Ledger!$I$2:$I$45,MATCH($C39,Ledger!$A$2:$A$45,0)),""))</f>
        <v/>
      </c>
      <c r="L39" s="18">
        <f>IF($C39="","",IF(OR($G39="no",$J39="no"),"FAIL",IF($K39="no","INFO","REVIEW")))</f>
        <v/>
      </c>
    </row>
    <row r="40">
      <c r="A40" s="16" t="n"/>
      <c r="B40" s="14" t="n"/>
      <c r="C40" s="16" t="n"/>
      <c r="D40" s="17" t="n"/>
      <c r="E40" s="16" t="n"/>
      <c r="F40" s="17">
        <f>IF(OR($C40="",$E40=""),"",IFERROR(IF($E40="Percent",INDEX(Ledger!$F$2:$F$45,MATCH($C40,Ledger!$A$2:$A$45,0))*100,INDEX(Ledger!$C$2:$E$45,MATCH($C40,Ledger!$A$2:$A$45,0),MATCH($E40,{"Prior","Current","Change"},0))),""))</f>
        <v/>
      </c>
      <c r="G40" s="16">
        <f>IF(OR($D40="",$F40=""),"",IF(ABS(ABS($D40)-ABS($F40))&lt;=IF($E40="Percent",Settings!$B$8,Settings!$B$7),"yes","no"))</f>
        <v/>
      </c>
      <c r="H40" s="16" t="n"/>
      <c r="I40" s="16">
        <f>IF($C40="","",IFERROR(IF(INDEX(Ledger!$E$2:$E$45,MATCH($C40,Ledger!$A$2:$A$45,0))="","",IF(INDEX(Ledger!$E$2:$E$45,MATCH($C40,Ledger!$A$2:$A$45,0))&gt;0,"up",IF(INDEX(Ledger!$E$2:$E$45,MATCH($C40,Ledger!$A$2:$A$45,0))&lt;0,"down","none"))),""))</f>
        <v/>
      </c>
      <c r="J40" s="16">
        <f>IF(OR($H40="",$H40="none",$I40=""),"",IF($H40=$I40,"yes","no"))</f>
        <v/>
      </c>
      <c r="K40" s="16">
        <f>IF($C40="","",IFERROR(INDEX(Ledger!$I$2:$I$45,MATCH($C40,Ledger!$A$2:$A$45,0)),""))</f>
        <v/>
      </c>
      <c r="L40" s="18">
        <f>IF($C40="","",IF(OR($G40="no",$J40="no"),"FAIL",IF($K40="no","INFO","REVIEW")))</f>
        <v/>
      </c>
    </row>
    <row r="41">
      <c r="A41" s="16" t="n"/>
      <c r="B41" s="14" t="n"/>
      <c r="C41" s="16" t="n"/>
      <c r="D41" s="17" t="n"/>
      <c r="E41" s="16" t="n"/>
      <c r="F41" s="17">
        <f>IF(OR($C41="",$E41=""),"",IFERROR(IF($E41="Percent",INDEX(Ledger!$F$2:$F$45,MATCH($C41,Ledger!$A$2:$A$45,0))*100,INDEX(Ledger!$C$2:$E$45,MATCH($C41,Ledger!$A$2:$A$45,0),MATCH($E41,{"Prior","Current","Change"},0))),""))</f>
        <v/>
      </c>
      <c r="G41" s="16">
        <f>IF(OR($D41="",$F41=""),"",IF(ABS(ABS($D41)-ABS($F41))&lt;=IF($E41="Percent",Settings!$B$8,Settings!$B$7),"yes","no"))</f>
        <v/>
      </c>
      <c r="H41" s="16" t="n"/>
      <c r="I41" s="16">
        <f>IF($C41="","",IFERROR(IF(INDEX(Ledger!$E$2:$E$45,MATCH($C41,Ledger!$A$2:$A$45,0))="","",IF(INDEX(Ledger!$E$2:$E$45,MATCH($C41,Ledger!$A$2:$A$45,0))&gt;0,"up",IF(INDEX(Ledger!$E$2:$E$45,MATCH($C41,Ledger!$A$2:$A$45,0))&lt;0,"down","none"))),""))</f>
        <v/>
      </c>
      <c r="J41" s="16">
        <f>IF(OR($H41="",$H41="none",$I41=""),"",IF($H41=$I41,"yes","no"))</f>
        <v/>
      </c>
      <c r="K41" s="16">
        <f>IF($C41="","",IFERROR(INDEX(Ledger!$I$2:$I$45,MATCH($C41,Ledger!$A$2:$A$45,0)),""))</f>
        <v/>
      </c>
      <c r="L41" s="18">
        <f>IF($C41="","",IF(OR($G41="no",$J41="no"),"FAIL",IF($K41="no","INFO","REVIEW")))</f>
        <v/>
      </c>
    </row>
    <row r="42">
      <c r="A42" s="16" t="n"/>
      <c r="B42" s="14" t="n"/>
      <c r="C42" s="16" t="n"/>
      <c r="D42" s="17" t="n"/>
      <c r="E42" s="16" t="n"/>
      <c r="F42" s="17">
        <f>IF(OR($C42="",$E42=""),"",IFERROR(IF($E42="Percent",INDEX(Ledger!$F$2:$F$45,MATCH($C42,Ledger!$A$2:$A$45,0))*100,INDEX(Ledger!$C$2:$E$45,MATCH($C42,Ledger!$A$2:$A$45,0),MATCH($E42,{"Prior","Current","Change"},0))),""))</f>
        <v/>
      </c>
      <c r="G42" s="16">
        <f>IF(OR($D42="",$F42=""),"",IF(ABS(ABS($D42)-ABS($F42))&lt;=IF($E42="Percent",Settings!$B$8,Settings!$B$7),"yes","no"))</f>
        <v/>
      </c>
      <c r="H42" s="16" t="n"/>
      <c r="I42" s="16">
        <f>IF($C42="","",IFERROR(IF(INDEX(Ledger!$E$2:$E$45,MATCH($C42,Ledger!$A$2:$A$45,0))="","",IF(INDEX(Ledger!$E$2:$E$45,MATCH($C42,Ledger!$A$2:$A$45,0))&gt;0,"up",IF(INDEX(Ledger!$E$2:$E$45,MATCH($C42,Ledger!$A$2:$A$45,0))&lt;0,"down","none"))),""))</f>
        <v/>
      </c>
      <c r="J42" s="16">
        <f>IF(OR($H42="",$H42="none",$I42=""),"",IF($H42=$I42,"yes","no"))</f>
        <v/>
      </c>
      <c r="K42" s="16">
        <f>IF($C42="","",IFERROR(INDEX(Ledger!$I$2:$I$45,MATCH($C42,Ledger!$A$2:$A$45,0)),""))</f>
        <v/>
      </c>
      <c r="L42" s="18">
        <f>IF($C42="","",IF(OR($G42="no",$J42="no"),"FAIL",IF($K42="no","INFO","REVIEW")))</f>
        <v/>
      </c>
    </row>
    <row r="43">
      <c r="A43" s="16" t="n"/>
      <c r="B43" s="14" t="n"/>
      <c r="C43" s="16" t="n"/>
      <c r="D43" s="17" t="n"/>
      <c r="E43" s="16" t="n"/>
      <c r="F43" s="17">
        <f>IF(OR($C43="",$E43=""),"",IFERROR(IF($E43="Percent",INDEX(Ledger!$F$2:$F$45,MATCH($C43,Ledger!$A$2:$A$45,0))*100,INDEX(Ledger!$C$2:$E$45,MATCH($C43,Ledger!$A$2:$A$45,0),MATCH($E43,{"Prior","Current","Change"},0))),""))</f>
        <v/>
      </c>
      <c r="G43" s="16">
        <f>IF(OR($D43="",$F43=""),"",IF(ABS(ABS($D43)-ABS($F43))&lt;=IF($E43="Percent",Settings!$B$8,Settings!$B$7),"yes","no"))</f>
        <v/>
      </c>
      <c r="H43" s="16" t="n"/>
      <c r="I43" s="16">
        <f>IF($C43="","",IFERROR(IF(INDEX(Ledger!$E$2:$E$45,MATCH($C43,Ledger!$A$2:$A$45,0))="","",IF(INDEX(Ledger!$E$2:$E$45,MATCH($C43,Ledger!$A$2:$A$45,0))&gt;0,"up",IF(INDEX(Ledger!$E$2:$E$45,MATCH($C43,Ledger!$A$2:$A$45,0))&lt;0,"down","none"))),""))</f>
        <v/>
      </c>
      <c r="J43" s="16">
        <f>IF(OR($H43="",$H43="none",$I43=""),"",IF($H43=$I43,"yes","no"))</f>
        <v/>
      </c>
      <c r="K43" s="16">
        <f>IF($C43="","",IFERROR(INDEX(Ledger!$I$2:$I$45,MATCH($C43,Ledger!$A$2:$A$45,0)),""))</f>
        <v/>
      </c>
      <c r="L43" s="18">
        <f>IF($C43="","",IF(OR($G43="no",$J43="no"),"FAIL",IF($K43="no","INFO","REVIEW")))</f>
        <v/>
      </c>
    </row>
  </sheetData>
  <autoFilter ref="A1:L43"/>
  <dataValidations count="3">
    <dataValidation sqref="C2:C43" showDropDown="0" showInputMessage="0" showErrorMessage="0" allowBlank="1" type="list">
      <formula1>=Ledger!$A$2:$A$45</formula1>
    </dataValidation>
    <dataValidation sqref="E2:E43" showDropDown="0" showInputMessage="0" showErrorMessage="0" allowBlank="1" type="list">
      <formula1>"Prior,Current,Change,Percent"</formula1>
    </dataValidation>
    <dataValidation sqref="H2:H43" showDropDown="0" showInputMessage="0" showErrorMessage="0" allowBlank="1" type="list">
      <formula1>"up,down,none"</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G49"/>
  <sheetViews>
    <sheetView workbookViewId="0">
      <pane ySplit="5" topLeftCell="A6" activePane="bottomLeft" state="frozen"/>
      <selection pane="bottomLeft" activeCell="A1" sqref="A1"/>
    </sheetView>
  </sheetViews>
  <sheetFormatPr baseColWidth="8" defaultRowHeight="15"/>
  <cols>
    <col width="11" customWidth="1" min="1" max="1"/>
    <col width="40" customWidth="1" min="2" max="2"/>
    <col width="15" customWidth="1" min="3" max="3"/>
    <col width="11" customWidth="1" min="4" max="4"/>
    <col width="15" customWidth="1" min="5" max="5"/>
    <col width="15" customWidth="1" min="6" max="6"/>
    <col width="38" customWidth="1" min="7" max="7"/>
  </cols>
  <sheetData>
    <row r="1">
      <c r="A1" s="19" t="inlineStr">
        <is>
          <t>Owes an explanation, none written</t>
        </is>
      </c>
    </row>
    <row r="2">
      <c r="A2" s="2" t="inlineStr">
        <is>
          <t>Every account that clears the rule on Settings and carries no sentence on the Memo sheet. These go to the controller as a question, not to the preparer as a correction.</t>
        </is>
      </c>
    </row>
    <row r="3">
      <c r="A3" s="20" t="inlineStr">
        <is>
          <t>Silent lines:</t>
        </is>
      </c>
      <c r="B3" s="20">
        <f>COUNTIF($G$6:$G$49,"Owes an explanation, none written")</f>
        <v/>
      </c>
    </row>
    <row r="5" ht="32" customHeight="1">
      <c r="A5" s="5" t="inlineStr">
        <is>
          <t>Account</t>
        </is>
      </c>
      <c r="B5" s="5" t="inlineStr">
        <is>
          <t>Name</t>
        </is>
      </c>
      <c r="C5" s="5" t="inlineStr">
        <is>
          <t>Change</t>
        </is>
      </c>
      <c r="D5" s="5" t="inlineStr">
        <is>
          <t>Percent</t>
        </is>
      </c>
      <c r="E5" s="5" t="inlineStr">
        <is>
          <t>Owes commentary</t>
        </is>
      </c>
      <c r="F5" s="5" t="inlineStr">
        <is>
          <t>Sentences on this account</t>
        </is>
      </c>
      <c r="G5" s="6" t="inlineStr">
        <is>
          <t>Status</t>
        </is>
      </c>
    </row>
    <row r="6">
      <c r="A6" s="7">
        <f>IF(Ledger!$A2="","",Ledger!$A2)</f>
        <v/>
      </c>
      <c r="B6" s="8">
        <f>IF(Ledger!$A2="","",Ledger!$B2)</f>
        <v/>
      </c>
      <c r="C6" s="21">
        <f>IF(Ledger!$A2="","",Ledger!$E2)</f>
        <v/>
      </c>
      <c r="D6" s="22">
        <f>IF(Ledger!$A2="","",Ledger!$F2)</f>
        <v/>
      </c>
      <c r="E6" s="7">
        <f>IF(Ledger!$A2="","",Ledger!$I2)</f>
        <v/>
      </c>
      <c r="F6" s="7">
        <f>IF(Ledger!$A2="","",COUNTIF(Memo!$C$2:$C$43,Ledger!$A2))</f>
        <v/>
      </c>
      <c r="G6" s="23">
        <f>IF($A6="","",IF($E6&lt;&gt;"yes","No commentary owed",IF($F6=0,"Owes an explanation, none written","Explained, "&amp;$F6&amp;" sentence(s) on this account")))</f>
        <v/>
      </c>
    </row>
    <row r="7">
      <c r="A7" s="7">
        <f>IF(Ledger!$A3="","",Ledger!$A3)</f>
        <v/>
      </c>
      <c r="B7" s="8">
        <f>IF(Ledger!$A3="","",Ledger!$B3)</f>
        <v/>
      </c>
      <c r="C7" s="21">
        <f>IF(Ledger!$A3="","",Ledger!$E3)</f>
        <v/>
      </c>
      <c r="D7" s="22">
        <f>IF(Ledger!$A3="","",Ledger!$F3)</f>
        <v/>
      </c>
      <c r="E7" s="7">
        <f>IF(Ledger!$A3="","",Ledger!$I3)</f>
        <v/>
      </c>
      <c r="F7" s="7">
        <f>IF(Ledger!$A3="","",COUNTIF(Memo!$C$2:$C$43,Ledger!$A3))</f>
        <v/>
      </c>
      <c r="G7" s="23">
        <f>IF($A7="","",IF($E7&lt;&gt;"yes","No commentary owed",IF($F7=0,"Owes an explanation, none written","Explained, "&amp;$F7&amp;" sentence(s) on this account")))</f>
        <v/>
      </c>
    </row>
    <row r="8">
      <c r="A8" s="7">
        <f>IF(Ledger!$A4="","",Ledger!$A4)</f>
        <v/>
      </c>
      <c r="B8" s="8">
        <f>IF(Ledger!$A4="","",Ledger!$B4)</f>
        <v/>
      </c>
      <c r="C8" s="21">
        <f>IF(Ledger!$A4="","",Ledger!$E4)</f>
        <v/>
      </c>
      <c r="D8" s="22">
        <f>IF(Ledger!$A4="","",Ledger!$F4)</f>
        <v/>
      </c>
      <c r="E8" s="7">
        <f>IF(Ledger!$A4="","",Ledger!$I4)</f>
        <v/>
      </c>
      <c r="F8" s="7">
        <f>IF(Ledger!$A4="","",COUNTIF(Memo!$C$2:$C$43,Ledger!$A4))</f>
        <v/>
      </c>
      <c r="G8" s="23">
        <f>IF($A8="","",IF($E8&lt;&gt;"yes","No commentary owed",IF($F8=0,"Owes an explanation, none written","Explained, "&amp;$F8&amp;" sentence(s) on this account")))</f>
        <v/>
      </c>
    </row>
    <row r="9">
      <c r="A9" s="7">
        <f>IF(Ledger!$A5="","",Ledger!$A5)</f>
        <v/>
      </c>
      <c r="B9" s="8">
        <f>IF(Ledger!$A5="","",Ledger!$B5)</f>
        <v/>
      </c>
      <c r="C9" s="21">
        <f>IF(Ledger!$A5="","",Ledger!$E5)</f>
        <v/>
      </c>
      <c r="D9" s="22">
        <f>IF(Ledger!$A5="","",Ledger!$F5)</f>
        <v/>
      </c>
      <c r="E9" s="7">
        <f>IF(Ledger!$A5="","",Ledger!$I5)</f>
        <v/>
      </c>
      <c r="F9" s="7">
        <f>IF(Ledger!$A5="","",COUNTIF(Memo!$C$2:$C$43,Ledger!$A5))</f>
        <v/>
      </c>
      <c r="G9" s="23">
        <f>IF($A9="","",IF($E9&lt;&gt;"yes","No commentary owed",IF($F9=0,"Owes an explanation, none written","Explained, "&amp;$F9&amp;" sentence(s) on this account")))</f>
        <v/>
      </c>
    </row>
    <row r="10">
      <c r="A10" s="7">
        <f>IF(Ledger!$A6="","",Ledger!$A6)</f>
        <v/>
      </c>
      <c r="B10" s="8">
        <f>IF(Ledger!$A6="","",Ledger!$B6)</f>
        <v/>
      </c>
      <c r="C10" s="21">
        <f>IF(Ledger!$A6="","",Ledger!$E6)</f>
        <v/>
      </c>
      <c r="D10" s="22">
        <f>IF(Ledger!$A6="","",Ledger!$F6)</f>
        <v/>
      </c>
      <c r="E10" s="7">
        <f>IF(Ledger!$A6="","",Ledger!$I6)</f>
        <v/>
      </c>
      <c r="F10" s="7">
        <f>IF(Ledger!$A6="","",COUNTIF(Memo!$C$2:$C$43,Ledger!$A6))</f>
        <v/>
      </c>
      <c r="G10" s="23">
        <f>IF($A10="","",IF($E10&lt;&gt;"yes","No commentary owed",IF($F10=0,"Owes an explanation, none written","Explained, "&amp;$F10&amp;" sentence(s) on this account")))</f>
        <v/>
      </c>
    </row>
    <row r="11">
      <c r="A11" s="7">
        <f>IF(Ledger!$A7="","",Ledger!$A7)</f>
        <v/>
      </c>
      <c r="B11" s="8">
        <f>IF(Ledger!$A7="","",Ledger!$B7)</f>
        <v/>
      </c>
      <c r="C11" s="21">
        <f>IF(Ledger!$A7="","",Ledger!$E7)</f>
        <v/>
      </c>
      <c r="D11" s="22">
        <f>IF(Ledger!$A7="","",Ledger!$F7)</f>
        <v/>
      </c>
      <c r="E11" s="7">
        <f>IF(Ledger!$A7="","",Ledger!$I7)</f>
        <v/>
      </c>
      <c r="F11" s="7">
        <f>IF(Ledger!$A7="","",COUNTIF(Memo!$C$2:$C$43,Ledger!$A7))</f>
        <v/>
      </c>
      <c r="G11" s="23">
        <f>IF($A11="","",IF($E11&lt;&gt;"yes","No commentary owed",IF($F11=0,"Owes an explanation, none written","Explained, "&amp;$F11&amp;" sentence(s) on this account")))</f>
        <v/>
      </c>
    </row>
    <row r="12">
      <c r="A12" s="7">
        <f>IF(Ledger!$A8="","",Ledger!$A8)</f>
        <v/>
      </c>
      <c r="B12" s="8">
        <f>IF(Ledger!$A8="","",Ledger!$B8)</f>
        <v/>
      </c>
      <c r="C12" s="21">
        <f>IF(Ledger!$A8="","",Ledger!$E8)</f>
        <v/>
      </c>
      <c r="D12" s="22">
        <f>IF(Ledger!$A8="","",Ledger!$F8)</f>
        <v/>
      </c>
      <c r="E12" s="7">
        <f>IF(Ledger!$A8="","",Ledger!$I8)</f>
        <v/>
      </c>
      <c r="F12" s="7">
        <f>IF(Ledger!$A8="","",COUNTIF(Memo!$C$2:$C$43,Ledger!$A8))</f>
        <v/>
      </c>
      <c r="G12" s="23">
        <f>IF($A12="","",IF($E12&lt;&gt;"yes","No commentary owed",IF($F12=0,"Owes an explanation, none written","Explained, "&amp;$F12&amp;" sentence(s) on this account")))</f>
        <v/>
      </c>
    </row>
    <row r="13">
      <c r="A13" s="7">
        <f>IF(Ledger!$A9="","",Ledger!$A9)</f>
        <v/>
      </c>
      <c r="B13" s="8">
        <f>IF(Ledger!$A9="","",Ledger!$B9)</f>
        <v/>
      </c>
      <c r="C13" s="21">
        <f>IF(Ledger!$A9="","",Ledger!$E9)</f>
        <v/>
      </c>
      <c r="D13" s="22">
        <f>IF(Ledger!$A9="","",Ledger!$F9)</f>
        <v/>
      </c>
      <c r="E13" s="7">
        <f>IF(Ledger!$A9="","",Ledger!$I9)</f>
        <v/>
      </c>
      <c r="F13" s="7">
        <f>IF(Ledger!$A9="","",COUNTIF(Memo!$C$2:$C$43,Ledger!$A9))</f>
        <v/>
      </c>
      <c r="G13" s="23">
        <f>IF($A13="","",IF($E13&lt;&gt;"yes","No commentary owed",IF($F13=0,"Owes an explanation, none written","Explained, "&amp;$F13&amp;" sentence(s) on this account")))</f>
        <v/>
      </c>
    </row>
    <row r="14">
      <c r="A14" s="7">
        <f>IF(Ledger!$A10="","",Ledger!$A10)</f>
        <v/>
      </c>
      <c r="B14" s="8">
        <f>IF(Ledger!$A10="","",Ledger!$B10)</f>
        <v/>
      </c>
      <c r="C14" s="21">
        <f>IF(Ledger!$A10="","",Ledger!$E10)</f>
        <v/>
      </c>
      <c r="D14" s="22">
        <f>IF(Ledger!$A10="","",Ledger!$F10)</f>
        <v/>
      </c>
      <c r="E14" s="7">
        <f>IF(Ledger!$A10="","",Ledger!$I10)</f>
        <v/>
      </c>
      <c r="F14" s="7">
        <f>IF(Ledger!$A10="","",COUNTIF(Memo!$C$2:$C$43,Ledger!$A10))</f>
        <v/>
      </c>
      <c r="G14" s="23">
        <f>IF($A14="","",IF($E14&lt;&gt;"yes","No commentary owed",IF($F14=0,"Owes an explanation, none written","Explained, "&amp;$F14&amp;" sentence(s) on this account")))</f>
        <v/>
      </c>
    </row>
    <row r="15">
      <c r="A15" s="7">
        <f>IF(Ledger!$A11="","",Ledger!$A11)</f>
        <v/>
      </c>
      <c r="B15" s="8">
        <f>IF(Ledger!$A11="","",Ledger!$B11)</f>
        <v/>
      </c>
      <c r="C15" s="21">
        <f>IF(Ledger!$A11="","",Ledger!$E11)</f>
        <v/>
      </c>
      <c r="D15" s="22">
        <f>IF(Ledger!$A11="","",Ledger!$F11)</f>
        <v/>
      </c>
      <c r="E15" s="7">
        <f>IF(Ledger!$A11="","",Ledger!$I11)</f>
        <v/>
      </c>
      <c r="F15" s="7">
        <f>IF(Ledger!$A11="","",COUNTIF(Memo!$C$2:$C$43,Ledger!$A11))</f>
        <v/>
      </c>
      <c r="G15" s="23">
        <f>IF($A15="","",IF($E15&lt;&gt;"yes","No commentary owed",IF($F15=0,"Owes an explanation, none written","Explained, "&amp;$F15&amp;" sentence(s) on this account")))</f>
        <v/>
      </c>
    </row>
    <row r="16">
      <c r="A16" s="7">
        <f>IF(Ledger!$A12="","",Ledger!$A12)</f>
        <v/>
      </c>
      <c r="B16" s="8">
        <f>IF(Ledger!$A12="","",Ledger!$B12)</f>
        <v/>
      </c>
      <c r="C16" s="21">
        <f>IF(Ledger!$A12="","",Ledger!$E12)</f>
        <v/>
      </c>
      <c r="D16" s="22">
        <f>IF(Ledger!$A12="","",Ledger!$F12)</f>
        <v/>
      </c>
      <c r="E16" s="7">
        <f>IF(Ledger!$A12="","",Ledger!$I12)</f>
        <v/>
      </c>
      <c r="F16" s="7">
        <f>IF(Ledger!$A12="","",COUNTIF(Memo!$C$2:$C$43,Ledger!$A12))</f>
        <v/>
      </c>
      <c r="G16" s="23">
        <f>IF($A16="","",IF($E16&lt;&gt;"yes","No commentary owed",IF($F16=0,"Owes an explanation, none written","Explained, "&amp;$F16&amp;" sentence(s) on this account")))</f>
        <v/>
      </c>
    </row>
    <row r="17">
      <c r="A17" s="7">
        <f>IF(Ledger!$A13="","",Ledger!$A13)</f>
        <v/>
      </c>
      <c r="B17" s="8">
        <f>IF(Ledger!$A13="","",Ledger!$B13)</f>
        <v/>
      </c>
      <c r="C17" s="21">
        <f>IF(Ledger!$A13="","",Ledger!$E13)</f>
        <v/>
      </c>
      <c r="D17" s="22">
        <f>IF(Ledger!$A13="","",Ledger!$F13)</f>
        <v/>
      </c>
      <c r="E17" s="7">
        <f>IF(Ledger!$A13="","",Ledger!$I13)</f>
        <v/>
      </c>
      <c r="F17" s="7">
        <f>IF(Ledger!$A13="","",COUNTIF(Memo!$C$2:$C$43,Ledger!$A13))</f>
        <v/>
      </c>
      <c r="G17" s="23">
        <f>IF($A17="","",IF($E17&lt;&gt;"yes","No commentary owed",IF($F17=0,"Owes an explanation, none written","Explained, "&amp;$F17&amp;" sentence(s) on this account")))</f>
        <v/>
      </c>
    </row>
    <row r="18">
      <c r="A18" s="7">
        <f>IF(Ledger!$A14="","",Ledger!$A14)</f>
        <v/>
      </c>
      <c r="B18" s="8">
        <f>IF(Ledger!$A14="","",Ledger!$B14)</f>
        <v/>
      </c>
      <c r="C18" s="21">
        <f>IF(Ledger!$A14="","",Ledger!$E14)</f>
        <v/>
      </c>
      <c r="D18" s="22">
        <f>IF(Ledger!$A14="","",Ledger!$F14)</f>
        <v/>
      </c>
      <c r="E18" s="7">
        <f>IF(Ledger!$A14="","",Ledger!$I14)</f>
        <v/>
      </c>
      <c r="F18" s="7">
        <f>IF(Ledger!$A14="","",COUNTIF(Memo!$C$2:$C$43,Ledger!$A14))</f>
        <v/>
      </c>
      <c r="G18" s="23">
        <f>IF($A18="","",IF($E18&lt;&gt;"yes","No commentary owed",IF($F18=0,"Owes an explanation, none written","Explained, "&amp;$F18&amp;" sentence(s) on this account")))</f>
        <v/>
      </c>
    </row>
    <row r="19">
      <c r="A19" s="7">
        <f>IF(Ledger!$A15="","",Ledger!$A15)</f>
        <v/>
      </c>
      <c r="B19" s="8">
        <f>IF(Ledger!$A15="","",Ledger!$B15)</f>
        <v/>
      </c>
      <c r="C19" s="21">
        <f>IF(Ledger!$A15="","",Ledger!$E15)</f>
        <v/>
      </c>
      <c r="D19" s="22">
        <f>IF(Ledger!$A15="","",Ledger!$F15)</f>
        <v/>
      </c>
      <c r="E19" s="7">
        <f>IF(Ledger!$A15="","",Ledger!$I15)</f>
        <v/>
      </c>
      <c r="F19" s="7">
        <f>IF(Ledger!$A15="","",COUNTIF(Memo!$C$2:$C$43,Ledger!$A15))</f>
        <v/>
      </c>
      <c r="G19" s="23">
        <f>IF($A19="","",IF($E19&lt;&gt;"yes","No commentary owed",IF($F19=0,"Owes an explanation, none written","Explained, "&amp;$F19&amp;" sentence(s) on this account")))</f>
        <v/>
      </c>
    </row>
    <row r="20">
      <c r="A20" s="7">
        <f>IF(Ledger!$A16="","",Ledger!$A16)</f>
        <v/>
      </c>
      <c r="B20" s="8">
        <f>IF(Ledger!$A16="","",Ledger!$B16)</f>
        <v/>
      </c>
      <c r="C20" s="21">
        <f>IF(Ledger!$A16="","",Ledger!$E16)</f>
        <v/>
      </c>
      <c r="D20" s="22">
        <f>IF(Ledger!$A16="","",Ledger!$F16)</f>
        <v/>
      </c>
      <c r="E20" s="7">
        <f>IF(Ledger!$A16="","",Ledger!$I16)</f>
        <v/>
      </c>
      <c r="F20" s="7">
        <f>IF(Ledger!$A16="","",COUNTIF(Memo!$C$2:$C$43,Ledger!$A16))</f>
        <v/>
      </c>
      <c r="G20" s="23">
        <f>IF($A20="","",IF($E20&lt;&gt;"yes","No commentary owed",IF($F20=0,"Owes an explanation, none written","Explained, "&amp;$F20&amp;" sentence(s) on this account")))</f>
        <v/>
      </c>
    </row>
    <row r="21">
      <c r="A21" s="7">
        <f>IF(Ledger!$A17="","",Ledger!$A17)</f>
        <v/>
      </c>
      <c r="B21" s="8">
        <f>IF(Ledger!$A17="","",Ledger!$B17)</f>
        <v/>
      </c>
      <c r="C21" s="21">
        <f>IF(Ledger!$A17="","",Ledger!$E17)</f>
        <v/>
      </c>
      <c r="D21" s="22">
        <f>IF(Ledger!$A17="","",Ledger!$F17)</f>
        <v/>
      </c>
      <c r="E21" s="7">
        <f>IF(Ledger!$A17="","",Ledger!$I17)</f>
        <v/>
      </c>
      <c r="F21" s="7">
        <f>IF(Ledger!$A17="","",COUNTIF(Memo!$C$2:$C$43,Ledger!$A17))</f>
        <v/>
      </c>
      <c r="G21" s="23">
        <f>IF($A21="","",IF($E21&lt;&gt;"yes","No commentary owed",IF($F21=0,"Owes an explanation, none written","Explained, "&amp;$F21&amp;" sentence(s) on this account")))</f>
        <v/>
      </c>
    </row>
    <row r="22">
      <c r="A22" s="7">
        <f>IF(Ledger!$A18="","",Ledger!$A18)</f>
        <v/>
      </c>
      <c r="B22" s="8">
        <f>IF(Ledger!$A18="","",Ledger!$B18)</f>
        <v/>
      </c>
      <c r="C22" s="21">
        <f>IF(Ledger!$A18="","",Ledger!$E18)</f>
        <v/>
      </c>
      <c r="D22" s="22">
        <f>IF(Ledger!$A18="","",Ledger!$F18)</f>
        <v/>
      </c>
      <c r="E22" s="7">
        <f>IF(Ledger!$A18="","",Ledger!$I18)</f>
        <v/>
      </c>
      <c r="F22" s="7">
        <f>IF(Ledger!$A18="","",COUNTIF(Memo!$C$2:$C$43,Ledger!$A18))</f>
        <v/>
      </c>
      <c r="G22" s="23">
        <f>IF($A22="","",IF($E22&lt;&gt;"yes","No commentary owed",IF($F22=0,"Owes an explanation, none written","Explained, "&amp;$F22&amp;" sentence(s) on this account")))</f>
        <v/>
      </c>
    </row>
    <row r="23">
      <c r="A23" s="7">
        <f>IF(Ledger!$A19="","",Ledger!$A19)</f>
        <v/>
      </c>
      <c r="B23" s="8">
        <f>IF(Ledger!$A19="","",Ledger!$B19)</f>
        <v/>
      </c>
      <c r="C23" s="21">
        <f>IF(Ledger!$A19="","",Ledger!$E19)</f>
        <v/>
      </c>
      <c r="D23" s="22">
        <f>IF(Ledger!$A19="","",Ledger!$F19)</f>
        <v/>
      </c>
      <c r="E23" s="7">
        <f>IF(Ledger!$A19="","",Ledger!$I19)</f>
        <v/>
      </c>
      <c r="F23" s="7">
        <f>IF(Ledger!$A19="","",COUNTIF(Memo!$C$2:$C$43,Ledger!$A19))</f>
        <v/>
      </c>
      <c r="G23" s="23">
        <f>IF($A23="","",IF($E23&lt;&gt;"yes","No commentary owed",IF($F23=0,"Owes an explanation, none written","Explained, "&amp;$F23&amp;" sentence(s) on this account")))</f>
        <v/>
      </c>
    </row>
    <row r="24">
      <c r="A24" s="7">
        <f>IF(Ledger!$A20="","",Ledger!$A20)</f>
        <v/>
      </c>
      <c r="B24" s="8">
        <f>IF(Ledger!$A20="","",Ledger!$B20)</f>
        <v/>
      </c>
      <c r="C24" s="21">
        <f>IF(Ledger!$A20="","",Ledger!$E20)</f>
        <v/>
      </c>
      <c r="D24" s="22">
        <f>IF(Ledger!$A20="","",Ledger!$F20)</f>
        <v/>
      </c>
      <c r="E24" s="7">
        <f>IF(Ledger!$A20="","",Ledger!$I20)</f>
        <v/>
      </c>
      <c r="F24" s="7">
        <f>IF(Ledger!$A20="","",COUNTIF(Memo!$C$2:$C$43,Ledger!$A20))</f>
        <v/>
      </c>
      <c r="G24" s="23">
        <f>IF($A24="","",IF($E24&lt;&gt;"yes","No commentary owed",IF($F24=0,"Owes an explanation, none written","Explained, "&amp;$F24&amp;" sentence(s) on this account")))</f>
        <v/>
      </c>
    </row>
    <row r="25">
      <c r="A25" s="7">
        <f>IF(Ledger!$A21="","",Ledger!$A21)</f>
        <v/>
      </c>
      <c r="B25" s="8">
        <f>IF(Ledger!$A21="","",Ledger!$B21)</f>
        <v/>
      </c>
      <c r="C25" s="21">
        <f>IF(Ledger!$A21="","",Ledger!$E21)</f>
        <v/>
      </c>
      <c r="D25" s="22">
        <f>IF(Ledger!$A21="","",Ledger!$F21)</f>
        <v/>
      </c>
      <c r="E25" s="7">
        <f>IF(Ledger!$A21="","",Ledger!$I21)</f>
        <v/>
      </c>
      <c r="F25" s="7">
        <f>IF(Ledger!$A21="","",COUNTIF(Memo!$C$2:$C$43,Ledger!$A21))</f>
        <v/>
      </c>
      <c r="G25" s="23">
        <f>IF($A25="","",IF($E25&lt;&gt;"yes","No commentary owed",IF($F25=0,"Owes an explanation, none written","Explained, "&amp;$F25&amp;" sentence(s) on this account")))</f>
        <v/>
      </c>
    </row>
    <row r="26">
      <c r="A26" s="7">
        <f>IF(Ledger!$A22="","",Ledger!$A22)</f>
        <v/>
      </c>
      <c r="B26" s="8">
        <f>IF(Ledger!$A22="","",Ledger!$B22)</f>
        <v/>
      </c>
      <c r="C26" s="21">
        <f>IF(Ledger!$A22="","",Ledger!$E22)</f>
        <v/>
      </c>
      <c r="D26" s="22">
        <f>IF(Ledger!$A22="","",Ledger!$F22)</f>
        <v/>
      </c>
      <c r="E26" s="7">
        <f>IF(Ledger!$A22="","",Ledger!$I22)</f>
        <v/>
      </c>
      <c r="F26" s="7">
        <f>IF(Ledger!$A22="","",COUNTIF(Memo!$C$2:$C$43,Ledger!$A22))</f>
        <v/>
      </c>
      <c r="G26" s="23">
        <f>IF($A26="","",IF($E26&lt;&gt;"yes","No commentary owed",IF($F26=0,"Owes an explanation, none written","Explained, "&amp;$F26&amp;" sentence(s) on this account")))</f>
        <v/>
      </c>
    </row>
    <row r="27">
      <c r="A27" s="7">
        <f>IF(Ledger!$A23="","",Ledger!$A23)</f>
        <v/>
      </c>
      <c r="B27" s="8">
        <f>IF(Ledger!$A23="","",Ledger!$B23)</f>
        <v/>
      </c>
      <c r="C27" s="21">
        <f>IF(Ledger!$A23="","",Ledger!$E23)</f>
        <v/>
      </c>
      <c r="D27" s="22">
        <f>IF(Ledger!$A23="","",Ledger!$F23)</f>
        <v/>
      </c>
      <c r="E27" s="7">
        <f>IF(Ledger!$A23="","",Ledger!$I23)</f>
        <v/>
      </c>
      <c r="F27" s="7">
        <f>IF(Ledger!$A23="","",COUNTIF(Memo!$C$2:$C$43,Ledger!$A23))</f>
        <v/>
      </c>
      <c r="G27" s="23">
        <f>IF($A27="","",IF($E27&lt;&gt;"yes","No commentary owed",IF($F27=0,"Owes an explanation, none written","Explained, "&amp;$F27&amp;" sentence(s) on this account")))</f>
        <v/>
      </c>
    </row>
    <row r="28">
      <c r="A28" s="7">
        <f>IF(Ledger!$A24="","",Ledger!$A24)</f>
        <v/>
      </c>
      <c r="B28" s="8">
        <f>IF(Ledger!$A24="","",Ledger!$B24)</f>
        <v/>
      </c>
      <c r="C28" s="21">
        <f>IF(Ledger!$A24="","",Ledger!$E24)</f>
        <v/>
      </c>
      <c r="D28" s="22">
        <f>IF(Ledger!$A24="","",Ledger!$F24)</f>
        <v/>
      </c>
      <c r="E28" s="7">
        <f>IF(Ledger!$A24="","",Ledger!$I24)</f>
        <v/>
      </c>
      <c r="F28" s="7">
        <f>IF(Ledger!$A24="","",COUNTIF(Memo!$C$2:$C$43,Ledger!$A24))</f>
        <v/>
      </c>
      <c r="G28" s="23">
        <f>IF($A28="","",IF($E28&lt;&gt;"yes","No commentary owed",IF($F28=0,"Owes an explanation, none written","Explained, "&amp;$F28&amp;" sentence(s) on this account")))</f>
        <v/>
      </c>
    </row>
    <row r="29">
      <c r="A29" s="7">
        <f>IF(Ledger!$A25="","",Ledger!$A25)</f>
        <v/>
      </c>
      <c r="B29" s="8">
        <f>IF(Ledger!$A25="","",Ledger!$B25)</f>
        <v/>
      </c>
      <c r="C29" s="21">
        <f>IF(Ledger!$A25="","",Ledger!$E25)</f>
        <v/>
      </c>
      <c r="D29" s="22">
        <f>IF(Ledger!$A25="","",Ledger!$F25)</f>
        <v/>
      </c>
      <c r="E29" s="7">
        <f>IF(Ledger!$A25="","",Ledger!$I25)</f>
        <v/>
      </c>
      <c r="F29" s="7">
        <f>IF(Ledger!$A25="","",COUNTIF(Memo!$C$2:$C$43,Ledger!$A25))</f>
        <v/>
      </c>
      <c r="G29" s="23">
        <f>IF($A29="","",IF($E29&lt;&gt;"yes","No commentary owed",IF($F29=0,"Owes an explanation, none written","Explained, "&amp;$F29&amp;" sentence(s) on this account")))</f>
        <v/>
      </c>
    </row>
    <row r="30">
      <c r="A30" s="7">
        <f>IF(Ledger!$A26="","",Ledger!$A26)</f>
        <v/>
      </c>
      <c r="B30" s="8">
        <f>IF(Ledger!$A26="","",Ledger!$B26)</f>
        <v/>
      </c>
      <c r="C30" s="21">
        <f>IF(Ledger!$A26="","",Ledger!$E26)</f>
        <v/>
      </c>
      <c r="D30" s="22">
        <f>IF(Ledger!$A26="","",Ledger!$F26)</f>
        <v/>
      </c>
      <c r="E30" s="7">
        <f>IF(Ledger!$A26="","",Ledger!$I26)</f>
        <v/>
      </c>
      <c r="F30" s="7">
        <f>IF(Ledger!$A26="","",COUNTIF(Memo!$C$2:$C$43,Ledger!$A26))</f>
        <v/>
      </c>
      <c r="G30" s="23">
        <f>IF($A30="","",IF($E30&lt;&gt;"yes","No commentary owed",IF($F30=0,"Owes an explanation, none written","Explained, "&amp;$F30&amp;" sentence(s) on this account")))</f>
        <v/>
      </c>
    </row>
    <row r="31">
      <c r="A31" s="7">
        <f>IF(Ledger!$A27="","",Ledger!$A27)</f>
        <v/>
      </c>
      <c r="B31" s="8">
        <f>IF(Ledger!$A27="","",Ledger!$B27)</f>
        <v/>
      </c>
      <c r="C31" s="21">
        <f>IF(Ledger!$A27="","",Ledger!$E27)</f>
        <v/>
      </c>
      <c r="D31" s="22">
        <f>IF(Ledger!$A27="","",Ledger!$F27)</f>
        <v/>
      </c>
      <c r="E31" s="7">
        <f>IF(Ledger!$A27="","",Ledger!$I27)</f>
        <v/>
      </c>
      <c r="F31" s="7">
        <f>IF(Ledger!$A27="","",COUNTIF(Memo!$C$2:$C$43,Ledger!$A27))</f>
        <v/>
      </c>
      <c r="G31" s="23">
        <f>IF($A31="","",IF($E31&lt;&gt;"yes","No commentary owed",IF($F31=0,"Owes an explanation, none written","Explained, "&amp;$F31&amp;" sentence(s) on this account")))</f>
        <v/>
      </c>
    </row>
    <row r="32">
      <c r="A32" s="7">
        <f>IF(Ledger!$A28="","",Ledger!$A28)</f>
        <v/>
      </c>
      <c r="B32" s="8">
        <f>IF(Ledger!$A28="","",Ledger!$B28)</f>
        <v/>
      </c>
      <c r="C32" s="21">
        <f>IF(Ledger!$A28="","",Ledger!$E28)</f>
        <v/>
      </c>
      <c r="D32" s="22">
        <f>IF(Ledger!$A28="","",Ledger!$F28)</f>
        <v/>
      </c>
      <c r="E32" s="7">
        <f>IF(Ledger!$A28="","",Ledger!$I28)</f>
        <v/>
      </c>
      <c r="F32" s="7">
        <f>IF(Ledger!$A28="","",COUNTIF(Memo!$C$2:$C$43,Ledger!$A28))</f>
        <v/>
      </c>
      <c r="G32" s="23">
        <f>IF($A32="","",IF($E32&lt;&gt;"yes","No commentary owed",IF($F32=0,"Owes an explanation, none written","Explained, "&amp;$F32&amp;" sentence(s) on this account")))</f>
        <v/>
      </c>
    </row>
    <row r="33">
      <c r="A33" s="7">
        <f>IF(Ledger!$A29="","",Ledger!$A29)</f>
        <v/>
      </c>
      <c r="B33" s="8">
        <f>IF(Ledger!$A29="","",Ledger!$B29)</f>
        <v/>
      </c>
      <c r="C33" s="21">
        <f>IF(Ledger!$A29="","",Ledger!$E29)</f>
        <v/>
      </c>
      <c r="D33" s="22">
        <f>IF(Ledger!$A29="","",Ledger!$F29)</f>
        <v/>
      </c>
      <c r="E33" s="7">
        <f>IF(Ledger!$A29="","",Ledger!$I29)</f>
        <v/>
      </c>
      <c r="F33" s="7">
        <f>IF(Ledger!$A29="","",COUNTIF(Memo!$C$2:$C$43,Ledger!$A29))</f>
        <v/>
      </c>
      <c r="G33" s="23">
        <f>IF($A33="","",IF($E33&lt;&gt;"yes","No commentary owed",IF($F33=0,"Owes an explanation, none written","Explained, "&amp;$F33&amp;" sentence(s) on this account")))</f>
        <v/>
      </c>
    </row>
    <row r="34">
      <c r="A34" s="7">
        <f>IF(Ledger!$A30="","",Ledger!$A30)</f>
        <v/>
      </c>
      <c r="B34" s="8">
        <f>IF(Ledger!$A30="","",Ledger!$B30)</f>
        <v/>
      </c>
      <c r="C34" s="21">
        <f>IF(Ledger!$A30="","",Ledger!$E30)</f>
        <v/>
      </c>
      <c r="D34" s="22">
        <f>IF(Ledger!$A30="","",Ledger!$F30)</f>
        <v/>
      </c>
      <c r="E34" s="7">
        <f>IF(Ledger!$A30="","",Ledger!$I30)</f>
        <v/>
      </c>
      <c r="F34" s="7">
        <f>IF(Ledger!$A30="","",COUNTIF(Memo!$C$2:$C$43,Ledger!$A30))</f>
        <v/>
      </c>
      <c r="G34" s="23">
        <f>IF($A34="","",IF($E34&lt;&gt;"yes","No commentary owed",IF($F34=0,"Owes an explanation, none written","Explained, "&amp;$F34&amp;" sentence(s) on this account")))</f>
        <v/>
      </c>
    </row>
    <row r="35">
      <c r="A35" s="7">
        <f>IF(Ledger!$A31="","",Ledger!$A31)</f>
        <v/>
      </c>
      <c r="B35" s="8">
        <f>IF(Ledger!$A31="","",Ledger!$B31)</f>
        <v/>
      </c>
      <c r="C35" s="21">
        <f>IF(Ledger!$A31="","",Ledger!$E31)</f>
        <v/>
      </c>
      <c r="D35" s="22">
        <f>IF(Ledger!$A31="","",Ledger!$F31)</f>
        <v/>
      </c>
      <c r="E35" s="7">
        <f>IF(Ledger!$A31="","",Ledger!$I31)</f>
        <v/>
      </c>
      <c r="F35" s="7">
        <f>IF(Ledger!$A31="","",COUNTIF(Memo!$C$2:$C$43,Ledger!$A31))</f>
        <v/>
      </c>
      <c r="G35" s="23">
        <f>IF($A35="","",IF($E35&lt;&gt;"yes","No commentary owed",IF($F35=0,"Owes an explanation, none written","Explained, "&amp;$F35&amp;" sentence(s) on this account")))</f>
        <v/>
      </c>
    </row>
    <row r="36">
      <c r="A36" s="7">
        <f>IF(Ledger!$A32="","",Ledger!$A32)</f>
        <v/>
      </c>
      <c r="B36" s="8">
        <f>IF(Ledger!$A32="","",Ledger!$B32)</f>
        <v/>
      </c>
      <c r="C36" s="21">
        <f>IF(Ledger!$A32="","",Ledger!$E32)</f>
        <v/>
      </c>
      <c r="D36" s="22">
        <f>IF(Ledger!$A32="","",Ledger!$F32)</f>
        <v/>
      </c>
      <c r="E36" s="7">
        <f>IF(Ledger!$A32="","",Ledger!$I32)</f>
        <v/>
      </c>
      <c r="F36" s="7">
        <f>IF(Ledger!$A32="","",COUNTIF(Memo!$C$2:$C$43,Ledger!$A32))</f>
        <v/>
      </c>
      <c r="G36" s="23">
        <f>IF($A36="","",IF($E36&lt;&gt;"yes","No commentary owed",IF($F36=0,"Owes an explanation, none written","Explained, "&amp;$F36&amp;" sentence(s) on this account")))</f>
        <v/>
      </c>
    </row>
    <row r="37">
      <c r="A37" s="7">
        <f>IF(Ledger!$A33="","",Ledger!$A33)</f>
        <v/>
      </c>
      <c r="B37" s="8">
        <f>IF(Ledger!$A33="","",Ledger!$B33)</f>
        <v/>
      </c>
      <c r="C37" s="21">
        <f>IF(Ledger!$A33="","",Ledger!$E33)</f>
        <v/>
      </c>
      <c r="D37" s="22">
        <f>IF(Ledger!$A33="","",Ledger!$F33)</f>
        <v/>
      </c>
      <c r="E37" s="7">
        <f>IF(Ledger!$A33="","",Ledger!$I33)</f>
        <v/>
      </c>
      <c r="F37" s="7">
        <f>IF(Ledger!$A33="","",COUNTIF(Memo!$C$2:$C$43,Ledger!$A33))</f>
        <v/>
      </c>
      <c r="G37" s="23">
        <f>IF($A37="","",IF($E37&lt;&gt;"yes","No commentary owed",IF($F37=0,"Owes an explanation, none written","Explained, "&amp;$F37&amp;" sentence(s) on this account")))</f>
        <v/>
      </c>
    </row>
    <row r="38">
      <c r="A38" s="7">
        <f>IF(Ledger!$A34="","",Ledger!$A34)</f>
        <v/>
      </c>
      <c r="B38" s="8">
        <f>IF(Ledger!$A34="","",Ledger!$B34)</f>
        <v/>
      </c>
      <c r="C38" s="21">
        <f>IF(Ledger!$A34="","",Ledger!$E34)</f>
        <v/>
      </c>
      <c r="D38" s="22">
        <f>IF(Ledger!$A34="","",Ledger!$F34)</f>
        <v/>
      </c>
      <c r="E38" s="7">
        <f>IF(Ledger!$A34="","",Ledger!$I34)</f>
        <v/>
      </c>
      <c r="F38" s="7">
        <f>IF(Ledger!$A34="","",COUNTIF(Memo!$C$2:$C$43,Ledger!$A34))</f>
        <v/>
      </c>
      <c r="G38" s="23">
        <f>IF($A38="","",IF($E38&lt;&gt;"yes","No commentary owed",IF($F38=0,"Owes an explanation, none written","Explained, "&amp;$F38&amp;" sentence(s) on this account")))</f>
        <v/>
      </c>
    </row>
    <row r="39">
      <c r="A39" s="7">
        <f>IF(Ledger!$A35="","",Ledger!$A35)</f>
        <v/>
      </c>
      <c r="B39" s="8">
        <f>IF(Ledger!$A35="","",Ledger!$B35)</f>
        <v/>
      </c>
      <c r="C39" s="21">
        <f>IF(Ledger!$A35="","",Ledger!$E35)</f>
        <v/>
      </c>
      <c r="D39" s="22">
        <f>IF(Ledger!$A35="","",Ledger!$F35)</f>
        <v/>
      </c>
      <c r="E39" s="7">
        <f>IF(Ledger!$A35="","",Ledger!$I35)</f>
        <v/>
      </c>
      <c r="F39" s="7">
        <f>IF(Ledger!$A35="","",COUNTIF(Memo!$C$2:$C$43,Ledger!$A35))</f>
        <v/>
      </c>
      <c r="G39" s="23">
        <f>IF($A39="","",IF($E39&lt;&gt;"yes","No commentary owed",IF($F39=0,"Owes an explanation, none written","Explained, "&amp;$F39&amp;" sentence(s) on this account")))</f>
        <v/>
      </c>
    </row>
    <row r="40">
      <c r="A40" s="7">
        <f>IF(Ledger!$A36="","",Ledger!$A36)</f>
        <v/>
      </c>
      <c r="B40" s="8">
        <f>IF(Ledger!$A36="","",Ledger!$B36)</f>
        <v/>
      </c>
      <c r="C40" s="21">
        <f>IF(Ledger!$A36="","",Ledger!$E36)</f>
        <v/>
      </c>
      <c r="D40" s="22">
        <f>IF(Ledger!$A36="","",Ledger!$F36)</f>
        <v/>
      </c>
      <c r="E40" s="7">
        <f>IF(Ledger!$A36="","",Ledger!$I36)</f>
        <v/>
      </c>
      <c r="F40" s="7">
        <f>IF(Ledger!$A36="","",COUNTIF(Memo!$C$2:$C$43,Ledger!$A36))</f>
        <v/>
      </c>
      <c r="G40" s="23">
        <f>IF($A40="","",IF($E40&lt;&gt;"yes","No commentary owed",IF($F40=0,"Owes an explanation, none written","Explained, "&amp;$F40&amp;" sentence(s) on this account")))</f>
        <v/>
      </c>
    </row>
    <row r="41">
      <c r="A41" s="7">
        <f>IF(Ledger!$A37="","",Ledger!$A37)</f>
        <v/>
      </c>
      <c r="B41" s="8">
        <f>IF(Ledger!$A37="","",Ledger!$B37)</f>
        <v/>
      </c>
      <c r="C41" s="21">
        <f>IF(Ledger!$A37="","",Ledger!$E37)</f>
        <v/>
      </c>
      <c r="D41" s="22">
        <f>IF(Ledger!$A37="","",Ledger!$F37)</f>
        <v/>
      </c>
      <c r="E41" s="7">
        <f>IF(Ledger!$A37="","",Ledger!$I37)</f>
        <v/>
      </c>
      <c r="F41" s="7">
        <f>IF(Ledger!$A37="","",COUNTIF(Memo!$C$2:$C$43,Ledger!$A37))</f>
        <v/>
      </c>
      <c r="G41" s="23">
        <f>IF($A41="","",IF($E41&lt;&gt;"yes","No commentary owed",IF($F41=0,"Owes an explanation, none written","Explained, "&amp;$F41&amp;" sentence(s) on this account")))</f>
        <v/>
      </c>
    </row>
    <row r="42">
      <c r="A42" s="7">
        <f>IF(Ledger!$A38="","",Ledger!$A38)</f>
        <v/>
      </c>
      <c r="B42" s="8">
        <f>IF(Ledger!$A38="","",Ledger!$B38)</f>
        <v/>
      </c>
      <c r="C42" s="21">
        <f>IF(Ledger!$A38="","",Ledger!$E38)</f>
        <v/>
      </c>
      <c r="D42" s="22">
        <f>IF(Ledger!$A38="","",Ledger!$F38)</f>
        <v/>
      </c>
      <c r="E42" s="7">
        <f>IF(Ledger!$A38="","",Ledger!$I38)</f>
        <v/>
      </c>
      <c r="F42" s="7">
        <f>IF(Ledger!$A38="","",COUNTIF(Memo!$C$2:$C$43,Ledger!$A38))</f>
        <v/>
      </c>
      <c r="G42" s="23">
        <f>IF($A42="","",IF($E42&lt;&gt;"yes","No commentary owed",IF($F42=0,"Owes an explanation, none written","Explained, "&amp;$F42&amp;" sentence(s) on this account")))</f>
        <v/>
      </c>
    </row>
    <row r="43">
      <c r="A43" s="7">
        <f>IF(Ledger!$A39="","",Ledger!$A39)</f>
        <v/>
      </c>
      <c r="B43" s="8">
        <f>IF(Ledger!$A39="","",Ledger!$B39)</f>
        <v/>
      </c>
      <c r="C43" s="21">
        <f>IF(Ledger!$A39="","",Ledger!$E39)</f>
        <v/>
      </c>
      <c r="D43" s="22">
        <f>IF(Ledger!$A39="","",Ledger!$F39)</f>
        <v/>
      </c>
      <c r="E43" s="7">
        <f>IF(Ledger!$A39="","",Ledger!$I39)</f>
        <v/>
      </c>
      <c r="F43" s="7">
        <f>IF(Ledger!$A39="","",COUNTIF(Memo!$C$2:$C$43,Ledger!$A39))</f>
        <v/>
      </c>
      <c r="G43" s="23">
        <f>IF($A43="","",IF($E43&lt;&gt;"yes","No commentary owed",IF($F43=0,"Owes an explanation, none written","Explained, "&amp;$F43&amp;" sentence(s) on this account")))</f>
        <v/>
      </c>
    </row>
    <row r="44">
      <c r="A44" s="7">
        <f>IF(Ledger!$A40="","",Ledger!$A40)</f>
        <v/>
      </c>
      <c r="B44" s="8">
        <f>IF(Ledger!$A40="","",Ledger!$B40)</f>
        <v/>
      </c>
      <c r="C44" s="21">
        <f>IF(Ledger!$A40="","",Ledger!$E40)</f>
        <v/>
      </c>
      <c r="D44" s="22">
        <f>IF(Ledger!$A40="","",Ledger!$F40)</f>
        <v/>
      </c>
      <c r="E44" s="7">
        <f>IF(Ledger!$A40="","",Ledger!$I40)</f>
        <v/>
      </c>
      <c r="F44" s="7">
        <f>IF(Ledger!$A40="","",COUNTIF(Memo!$C$2:$C$43,Ledger!$A40))</f>
        <v/>
      </c>
      <c r="G44" s="23">
        <f>IF($A44="","",IF($E44&lt;&gt;"yes","No commentary owed",IF($F44=0,"Owes an explanation, none written","Explained, "&amp;$F44&amp;" sentence(s) on this account")))</f>
        <v/>
      </c>
    </row>
    <row r="45">
      <c r="A45" s="7">
        <f>IF(Ledger!$A41="","",Ledger!$A41)</f>
        <v/>
      </c>
      <c r="B45" s="8">
        <f>IF(Ledger!$A41="","",Ledger!$B41)</f>
        <v/>
      </c>
      <c r="C45" s="21">
        <f>IF(Ledger!$A41="","",Ledger!$E41)</f>
        <v/>
      </c>
      <c r="D45" s="22">
        <f>IF(Ledger!$A41="","",Ledger!$F41)</f>
        <v/>
      </c>
      <c r="E45" s="7">
        <f>IF(Ledger!$A41="","",Ledger!$I41)</f>
        <v/>
      </c>
      <c r="F45" s="7">
        <f>IF(Ledger!$A41="","",COUNTIF(Memo!$C$2:$C$43,Ledger!$A41))</f>
        <v/>
      </c>
      <c r="G45" s="23">
        <f>IF($A45="","",IF($E45&lt;&gt;"yes","No commentary owed",IF($F45=0,"Owes an explanation, none written","Explained, "&amp;$F45&amp;" sentence(s) on this account")))</f>
        <v/>
      </c>
    </row>
    <row r="46">
      <c r="A46" s="7">
        <f>IF(Ledger!$A42="","",Ledger!$A42)</f>
        <v/>
      </c>
      <c r="B46" s="8">
        <f>IF(Ledger!$A42="","",Ledger!$B42)</f>
        <v/>
      </c>
      <c r="C46" s="21">
        <f>IF(Ledger!$A42="","",Ledger!$E42)</f>
        <v/>
      </c>
      <c r="D46" s="22">
        <f>IF(Ledger!$A42="","",Ledger!$F42)</f>
        <v/>
      </c>
      <c r="E46" s="7">
        <f>IF(Ledger!$A42="","",Ledger!$I42)</f>
        <v/>
      </c>
      <c r="F46" s="7">
        <f>IF(Ledger!$A42="","",COUNTIF(Memo!$C$2:$C$43,Ledger!$A42))</f>
        <v/>
      </c>
      <c r="G46" s="23">
        <f>IF($A46="","",IF($E46&lt;&gt;"yes","No commentary owed",IF($F46=0,"Owes an explanation, none written","Explained, "&amp;$F46&amp;" sentence(s) on this account")))</f>
        <v/>
      </c>
    </row>
    <row r="47">
      <c r="A47" s="7">
        <f>IF(Ledger!$A43="","",Ledger!$A43)</f>
        <v/>
      </c>
      <c r="B47" s="8">
        <f>IF(Ledger!$A43="","",Ledger!$B43)</f>
        <v/>
      </c>
      <c r="C47" s="21">
        <f>IF(Ledger!$A43="","",Ledger!$E43)</f>
        <v/>
      </c>
      <c r="D47" s="22">
        <f>IF(Ledger!$A43="","",Ledger!$F43)</f>
        <v/>
      </c>
      <c r="E47" s="7">
        <f>IF(Ledger!$A43="","",Ledger!$I43)</f>
        <v/>
      </c>
      <c r="F47" s="7">
        <f>IF(Ledger!$A43="","",COUNTIF(Memo!$C$2:$C$43,Ledger!$A43))</f>
        <v/>
      </c>
      <c r="G47" s="23">
        <f>IF($A47="","",IF($E47&lt;&gt;"yes","No commentary owed",IF($F47=0,"Owes an explanation, none written","Explained, "&amp;$F47&amp;" sentence(s) on this account")))</f>
        <v/>
      </c>
    </row>
    <row r="48">
      <c r="A48" s="7">
        <f>IF(Ledger!$A44="","",Ledger!$A44)</f>
        <v/>
      </c>
      <c r="B48" s="8">
        <f>IF(Ledger!$A44="","",Ledger!$B44)</f>
        <v/>
      </c>
      <c r="C48" s="21">
        <f>IF(Ledger!$A44="","",Ledger!$E44)</f>
        <v/>
      </c>
      <c r="D48" s="22">
        <f>IF(Ledger!$A44="","",Ledger!$F44)</f>
        <v/>
      </c>
      <c r="E48" s="7">
        <f>IF(Ledger!$A44="","",Ledger!$I44)</f>
        <v/>
      </c>
      <c r="F48" s="7">
        <f>IF(Ledger!$A44="","",COUNTIF(Memo!$C$2:$C$43,Ledger!$A44))</f>
        <v/>
      </c>
      <c r="G48" s="23">
        <f>IF($A48="","",IF($E48&lt;&gt;"yes","No commentary owed",IF($F48=0,"Owes an explanation, none written","Explained, "&amp;$F48&amp;" sentence(s) on this account")))</f>
        <v/>
      </c>
    </row>
    <row r="49">
      <c r="A49" s="7">
        <f>IF(Ledger!$A45="","",Ledger!$A45)</f>
        <v/>
      </c>
      <c r="B49" s="8">
        <f>IF(Ledger!$A45="","",Ledger!$B45)</f>
        <v/>
      </c>
      <c r="C49" s="21">
        <f>IF(Ledger!$A45="","",Ledger!$E45)</f>
        <v/>
      </c>
      <c r="D49" s="22">
        <f>IF(Ledger!$A45="","",Ledger!$F45)</f>
        <v/>
      </c>
      <c r="E49" s="7">
        <f>IF(Ledger!$A45="","",Ledger!$I45)</f>
        <v/>
      </c>
      <c r="F49" s="7">
        <f>IF(Ledger!$A45="","",COUNTIF(Memo!$C$2:$C$43,Ledger!$A45))</f>
        <v/>
      </c>
      <c r="G49" s="23">
        <f>IF($A49="","",IF($E49&lt;&gt;"yes","No commentary owed",IF($F49=0,"Owes an explanation, none written","Explained, "&amp;$F49&amp;" sentence(s) on this account")))</f>
        <v/>
      </c>
    </row>
  </sheetData>
  <autoFilter ref="A5:G49"/>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N34"/>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9" customWidth="1" min="3" max="3"/>
    <col width="26" customWidth="1" min="4" max="4"/>
    <col width="9" customWidth="1" min="5" max="5"/>
    <col width="13" customWidth="1" min="6" max="6"/>
    <col width="10" customWidth="1" min="7" max="7"/>
    <col width="60" customWidth="1" min="8" max="8"/>
    <col width="48" customWidth="1" min="9" max="9"/>
    <col width="48" customWidth="1" min="10" max="10"/>
    <col width="10" customWidth="1" min="11" max="11"/>
    <col width="14" customWidth="1" min="12" max="12"/>
    <col width="12" customWidth="1" min="13" max="13"/>
    <col width="18" customWidth="1" min="14" max="14"/>
  </cols>
  <sheetData>
    <row r="1" ht="32" customHeight="1">
      <c r="A1" s="5" t="inlineStr">
        <is>
          <t>close period</t>
        </is>
      </c>
      <c r="B1" s="5" t="inlineStr">
        <is>
          <t>memo version</t>
        </is>
      </c>
      <c r="C1" s="5" t="inlineStr">
        <is>
          <t>line</t>
        </is>
      </c>
      <c r="D1" s="5" t="inlineStr">
        <is>
          <t>account</t>
        </is>
      </c>
      <c r="E1" s="5" t="inlineStr">
        <is>
          <t>sentence</t>
        </is>
      </c>
      <c r="F1" s="5" t="inlineStr">
        <is>
          <t>check</t>
        </is>
      </c>
      <c r="G1" s="6" t="inlineStr">
        <is>
          <t>result</t>
        </is>
      </c>
      <c r="H1" s="5" t="inlineStr">
        <is>
          <t>finding</t>
        </is>
      </c>
      <c r="I1" s="5" t="inlineStr">
        <is>
          <t>ask to the controller</t>
        </is>
      </c>
      <c r="J1" s="5" t="inlineStr">
        <is>
          <t>reviewer answer</t>
        </is>
      </c>
      <c r="K1" s="5" t="inlineStr">
        <is>
          <t>resolved</t>
        </is>
      </c>
      <c r="L1" s="5" t="inlineStr">
        <is>
          <t>reviewer name</t>
        </is>
      </c>
      <c r="M1" s="5" t="inlineStr">
        <is>
          <t>date</t>
        </is>
      </c>
      <c r="N1" s="5" t="inlineStr">
        <is>
          <t>controller sign-off</t>
        </is>
      </c>
    </row>
    <row r="2" ht="60" customHeight="1">
      <c r="A2" s="14" t="inlineStr">
        <is>
          <t>June 2026, Halyard training case</t>
        </is>
      </c>
      <c r="B2" s="14" t="inlineStr">
        <is>
          <t>Draft 2</t>
        </is>
      </c>
      <c r="C2" s="14" t="inlineStr">
        <is>
          <t>6400</t>
        </is>
      </c>
      <c r="D2" s="14" t="inlineStr">
        <is>
          <t>Bad debt expense</t>
        </is>
      </c>
      <c r="E2" s="14" t="inlineStr">
        <is>
          <t>S2</t>
        </is>
      </c>
      <c r="F2" s="14" t="inlineStr">
        <is>
          <t>arithmetic</t>
        </is>
      </c>
      <c r="G2" s="18" t="inlineStr">
        <is>
          <t>fail</t>
        </is>
      </c>
      <c r="H2" s="14" t="inlineStr">
        <is>
          <t>S2 accounts for $42,000. Account 6400 moved $47,000, from $15,000 to $62,000. The difference is $5,000.</t>
        </is>
      </c>
      <c r="I2" s="14" t="inlineStr">
        <is>
          <t>State what the $5,000 above the Coastal Grocers reserve is and produce the June reserve rollforward, or amend S2 to a figure the ledger supports.</t>
        </is>
      </c>
      <c r="J2" s="14" t="inlineStr">
        <is>
          <t>Preparer amended S2 to $47,000, which recomputes against the ledger and ties. What the $5,000 above the named Coastal Grocers reserve is has not been established and no June reserve rollforward is on file, so the ask stays open and the sentence is held back from release.</t>
        </is>
      </c>
      <c r="K2" s="14" t="inlineStr">
        <is>
          <t>no</t>
        </is>
      </c>
      <c r="L2" s="14" t="inlineStr">
        <is>
          <t>K. Alkurd</t>
        </is>
      </c>
      <c r="M2" s="14" t="inlineStr">
        <is>
          <t>2026-07-08</t>
        </is>
      </c>
      <c r="N2" s="14" t="inlineStr">
        <is>
          <t>pending</t>
        </is>
      </c>
    </row>
    <row r="3" ht="60" customHeight="1">
      <c r="A3" s="14" t="inlineStr">
        <is>
          <t>June 2026, Halyard training case</t>
        </is>
      </c>
      <c r="B3" s="14" t="inlineStr">
        <is>
          <t>Draft 2</t>
        </is>
      </c>
      <c r="C3" s="14" t="inlineStr">
        <is>
          <t>6000</t>
        </is>
      </c>
      <c r="D3" s="14" t="inlineStr">
        <is>
          <t>Warehouse wages</t>
        </is>
      </c>
      <c r="E3" s="14" t="inlineStr">
        <is>
          <t>none</t>
        </is>
      </c>
      <c r="F3" s="14" t="inlineStr">
        <is>
          <t>silence</t>
        </is>
      </c>
      <c r="G3" s="18" t="inlineStr">
        <is>
          <t>fail</t>
        </is>
      </c>
      <c r="H3" s="14" t="inlineStr">
        <is>
          <t>The account moved $72,500 and 11.5 percent, which clears both legs, and no sentence in the memo covers it.</t>
        </is>
      </c>
      <c r="I3" s="14" t="inlineStr">
        <is>
          <t>Produce a driver for warehouse wages, or confirm the line is released with no explanation and why.</t>
        </is>
      </c>
      <c r="J3" s="14" t="inlineStr"/>
      <c r="K3" s="14" t="inlineStr">
        <is>
          <t>no</t>
        </is>
      </c>
      <c r="L3" s="14" t="inlineStr">
        <is>
          <t>K. Alkurd</t>
        </is>
      </c>
      <c r="M3" s="14" t="inlineStr">
        <is>
          <t>2026-07-08</t>
        </is>
      </c>
      <c r="N3" s="14" t="inlineStr">
        <is>
          <t>pending</t>
        </is>
      </c>
    </row>
    <row r="4" ht="60" customHeight="1">
      <c r="A4" s="14" t="inlineStr">
        <is>
          <t>June 2026, Halyard training case</t>
        </is>
      </c>
      <c r="B4" s="14" t="inlineStr">
        <is>
          <t>Draft 2</t>
        </is>
      </c>
      <c r="C4" s="14" t="inlineStr">
        <is>
          <t>4000</t>
        </is>
      </c>
      <c r="D4" s="14" t="inlineStr">
        <is>
          <t>Product revenue, distribution</t>
        </is>
      </c>
      <c r="E4" s="14" t="inlineStr">
        <is>
          <t>S5</t>
        </is>
      </c>
      <c r="F4" s="14" t="inlineStr">
        <is>
          <t>driver</t>
        </is>
      </c>
      <c r="G4" s="18" t="inlineStr">
        <is>
          <t>reviewer</t>
        </is>
      </c>
      <c r="H4" s="14" t="inlineStr">
        <is>
          <t>S5 credits the $372,000 movement to the Tri-State depot ramp. Nothing in the close binder ties that ramp to the figure, and the pricing memo of 20 May moves freight into the product price from 1 June, which puts $65,000 of the movement in account 4200 rather than in demand.</t>
        </is>
      </c>
      <c r="I4" s="14" t="inlineStr">
        <is>
          <t>Produce the support behind the Tri-State ramp, and state how much of the $372,000 is the freight reclassification.</t>
        </is>
      </c>
      <c r="J4" s="14" t="inlineStr">
        <is>
          <t>Not supported as written. The $65,000 is a reclassification out of account 4200 under the delivered pricing change, and the rest carries no document. Sentence held back from release.</t>
        </is>
      </c>
      <c r="K4" s="14" t="inlineStr">
        <is>
          <t>no</t>
        </is>
      </c>
      <c r="L4" s="14" t="inlineStr">
        <is>
          <t>K. Alkurd</t>
        </is>
      </c>
      <c r="M4" s="14" t="inlineStr">
        <is>
          <t>2026-07-08</t>
        </is>
      </c>
      <c r="N4" s="14" t="inlineStr">
        <is>
          <t>pending</t>
        </is>
      </c>
    </row>
    <row r="5">
      <c r="A5" s="14" t="n"/>
      <c r="B5" s="14" t="n"/>
      <c r="C5" s="14" t="n"/>
      <c r="D5" s="14" t="n"/>
      <c r="E5" s="14" t="n"/>
      <c r="F5" s="14" t="n"/>
      <c r="G5" s="18" t="n"/>
      <c r="H5" s="14" t="n"/>
      <c r="I5" s="14" t="n"/>
      <c r="J5" s="14" t="n"/>
      <c r="K5" s="14" t="n"/>
      <c r="L5" s="14" t="n"/>
      <c r="M5" s="14" t="n"/>
      <c r="N5" s="14" t="n"/>
    </row>
    <row r="6">
      <c r="A6" s="14" t="n"/>
      <c r="B6" s="14" t="n"/>
      <c r="C6" s="14" t="n"/>
      <c r="D6" s="14" t="n"/>
      <c r="E6" s="14" t="n"/>
      <c r="F6" s="14" t="n"/>
      <c r="G6" s="18" t="n"/>
      <c r="H6" s="14" t="n"/>
      <c r="I6" s="14" t="n"/>
      <c r="J6" s="14" t="n"/>
      <c r="K6" s="14" t="n"/>
      <c r="L6" s="14" t="n"/>
      <c r="M6" s="14" t="n"/>
      <c r="N6" s="14" t="n"/>
    </row>
    <row r="7">
      <c r="A7" s="14" t="n"/>
      <c r="B7" s="14" t="n"/>
      <c r="C7" s="14" t="n"/>
      <c r="D7" s="14" t="n"/>
      <c r="E7" s="14" t="n"/>
      <c r="F7" s="14" t="n"/>
      <c r="G7" s="18" t="n"/>
      <c r="H7" s="14" t="n"/>
      <c r="I7" s="14" t="n"/>
      <c r="J7" s="14" t="n"/>
      <c r="K7" s="14" t="n"/>
      <c r="L7" s="14" t="n"/>
      <c r="M7" s="14" t="n"/>
      <c r="N7" s="14" t="n"/>
    </row>
    <row r="8">
      <c r="A8" s="14" t="n"/>
      <c r="B8" s="14" t="n"/>
      <c r="C8" s="14" t="n"/>
      <c r="D8" s="14" t="n"/>
      <c r="E8" s="14" t="n"/>
      <c r="F8" s="14" t="n"/>
      <c r="G8" s="18" t="n"/>
      <c r="H8" s="14" t="n"/>
      <c r="I8" s="14" t="n"/>
      <c r="J8" s="14" t="n"/>
      <c r="K8" s="14" t="n"/>
      <c r="L8" s="14" t="n"/>
      <c r="M8" s="14" t="n"/>
      <c r="N8" s="14" t="n"/>
    </row>
    <row r="9">
      <c r="A9" s="14" t="n"/>
      <c r="B9" s="14" t="n"/>
      <c r="C9" s="14" t="n"/>
      <c r="D9" s="14" t="n"/>
      <c r="E9" s="14" t="n"/>
      <c r="F9" s="14" t="n"/>
      <c r="G9" s="18" t="n"/>
      <c r="H9" s="14" t="n"/>
      <c r="I9" s="14" t="n"/>
      <c r="J9" s="14" t="n"/>
      <c r="K9" s="14" t="n"/>
      <c r="L9" s="14" t="n"/>
      <c r="M9" s="14" t="n"/>
      <c r="N9" s="14" t="n"/>
    </row>
    <row r="10">
      <c r="A10" s="14" t="n"/>
      <c r="B10" s="14" t="n"/>
      <c r="C10" s="14" t="n"/>
      <c r="D10" s="14" t="n"/>
      <c r="E10" s="14" t="n"/>
      <c r="F10" s="14" t="n"/>
      <c r="G10" s="18" t="n"/>
      <c r="H10" s="14" t="n"/>
      <c r="I10" s="14" t="n"/>
      <c r="J10" s="14" t="n"/>
      <c r="K10" s="14" t="n"/>
      <c r="L10" s="14" t="n"/>
      <c r="M10" s="14" t="n"/>
      <c r="N10" s="14" t="n"/>
    </row>
    <row r="11">
      <c r="A11" s="14" t="n"/>
      <c r="B11" s="14" t="n"/>
      <c r="C11" s="14" t="n"/>
      <c r="D11" s="14" t="n"/>
      <c r="E11" s="14" t="n"/>
      <c r="F11" s="14" t="n"/>
      <c r="G11" s="18" t="n"/>
      <c r="H11" s="14" t="n"/>
      <c r="I11" s="14" t="n"/>
      <c r="J11" s="14" t="n"/>
      <c r="K11" s="14" t="n"/>
      <c r="L11" s="14" t="n"/>
      <c r="M11" s="14" t="n"/>
      <c r="N11" s="14" t="n"/>
    </row>
    <row r="12">
      <c r="A12" s="14" t="n"/>
      <c r="B12" s="14" t="n"/>
      <c r="C12" s="14" t="n"/>
      <c r="D12" s="14" t="n"/>
      <c r="E12" s="14" t="n"/>
      <c r="F12" s="14" t="n"/>
      <c r="G12" s="18" t="n"/>
      <c r="H12" s="14" t="n"/>
      <c r="I12" s="14" t="n"/>
      <c r="J12" s="14" t="n"/>
      <c r="K12" s="14" t="n"/>
      <c r="L12" s="14" t="n"/>
      <c r="M12" s="14" t="n"/>
      <c r="N12" s="14" t="n"/>
    </row>
    <row r="13">
      <c r="A13" s="14" t="n"/>
      <c r="B13" s="14" t="n"/>
      <c r="C13" s="14" t="n"/>
      <c r="D13" s="14" t="n"/>
      <c r="E13" s="14" t="n"/>
      <c r="F13" s="14" t="n"/>
      <c r="G13" s="18" t="n"/>
      <c r="H13" s="14" t="n"/>
      <c r="I13" s="14" t="n"/>
      <c r="J13" s="14" t="n"/>
      <c r="K13" s="14" t="n"/>
      <c r="L13" s="14" t="n"/>
      <c r="M13" s="14" t="n"/>
      <c r="N13" s="14" t="n"/>
    </row>
    <row r="14">
      <c r="A14" s="14" t="n"/>
      <c r="B14" s="14" t="n"/>
      <c r="C14" s="14" t="n"/>
      <c r="D14" s="14" t="n"/>
      <c r="E14" s="14" t="n"/>
      <c r="F14" s="14" t="n"/>
      <c r="G14" s="18" t="n"/>
      <c r="H14" s="14" t="n"/>
      <c r="I14" s="14" t="n"/>
      <c r="J14" s="14" t="n"/>
      <c r="K14" s="14" t="n"/>
      <c r="L14" s="14" t="n"/>
      <c r="M14" s="14" t="n"/>
      <c r="N14" s="14" t="n"/>
    </row>
    <row r="15">
      <c r="A15" s="14" t="n"/>
      <c r="B15" s="14" t="n"/>
      <c r="C15" s="14" t="n"/>
      <c r="D15" s="14" t="n"/>
      <c r="E15" s="14" t="n"/>
      <c r="F15" s="14" t="n"/>
      <c r="G15" s="18" t="n"/>
      <c r="H15" s="14" t="n"/>
      <c r="I15" s="14" t="n"/>
      <c r="J15" s="14" t="n"/>
      <c r="K15" s="14" t="n"/>
      <c r="L15" s="14" t="n"/>
      <c r="M15" s="14" t="n"/>
      <c r="N15" s="14" t="n"/>
    </row>
    <row r="16">
      <c r="A16" s="14" t="n"/>
      <c r="B16" s="14" t="n"/>
      <c r="C16" s="14" t="n"/>
      <c r="D16" s="14" t="n"/>
      <c r="E16" s="14" t="n"/>
      <c r="F16" s="14" t="n"/>
      <c r="G16" s="18" t="n"/>
      <c r="H16" s="14" t="n"/>
      <c r="I16" s="14" t="n"/>
      <c r="J16" s="14" t="n"/>
      <c r="K16" s="14" t="n"/>
      <c r="L16" s="14" t="n"/>
      <c r="M16" s="14" t="n"/>
      <c r="N16" s="14" t="n"/>
    </row>
    <row r="17">
      <c r="A17" s="14" t="n"/>
      <c r="B17" s="14" t="n"/>
      <c r="C17" s="14" t="n"/>
      <c r="D17" s="14" t="n"/>
      <c r="E17" s="14" t="n"/>
      <c r="F17" s="14" t="n"/>
      <c r="G17" s="18" t="n"/>
      <c r="H17" s="14" t="n"/>
      <c r="I17" s="14" t="n"/>
      <c r="J17" s="14" t="n"/>
      <c r="K17" s="14" t="n"/>
      <c r="L17" s="14" t="n"/>
      <c r="M17" s="14" t="n"/>
      <c r="N17" s="14" t="n"/>
    </row>
    <row r="18">
      <c r="A18" s="14" t="n"/>
      <c r="B18" s="14" t="n"/>
      <c r="C18" s="14" t="n"/>
      <c r="D18" s="14" t="n"/>
      <c r="E18" s="14" t="n"/>
      <c r="F18" s="14" t="n"/>
      <c r="G18" s="18" t="n"/>
      <c r="H18" s="14" t="n"/>
      <c r="I18" s="14" t="n"/>
      <c r="J18" s="14" t="n"/>
      <c r="K18" s="14" t="n"/>
      <c r="L18" s="14" t="n"/>
      <c r="M18" s="14" t="n"/>
      <c r="N18" s="14" t="n"/>
    </row>
    <row r="19">
      <c r="A19" s="14" t="n"/>
      <c r="B19" s="14" t="n"/>
      <c r="C19" s="14" t="n"/>
      <c r="D19" s="14" t="n"/>
      <c r="E19" s="14" t="n"/>
      <c r="F19" s="14" t="n"/>
      <c r="G19" s="18" t="n"/>
      <c r="H19" s="14" t="n"/>
      <c r="I19" s="14" t="n"/>
      <c r="J19" s="14" t="n"/>
      <c r="K19" s="14" t="n"/>
      <c r="L19" s="14" t="n"/>
      <c r="M19" s="14" t="n"/>
      <c r="N19" s="14" t="n"/>
    </row>
    <row r="20">
      <c r="A20" s="14" t="n"/>
      <c r="B20" s="14" t="n"/>
      <c r="C20" s="14" t="n"/>
      <c r="D20" s="14" t="n"/>
      <c r="E20" s="14" t="n"/>
      <c r="F20" s="14" t="n"/>
      <c r="G20" s="18" t="n"/>
      <c r="H20" s="14" t="n"/>
      <c r="I20" s="14" t="n"/>
      <c r="J20" s="14" t="n"/>
      <c r="K20" s="14" t="n"/>
      <c r="L20" s="14" t="n"/>
      <c r="M20" s="14" t="n"/>
      <c r="N20" s="14" t="n"/>
    </row>
    <row r="21">
      <c r="A21" s="14" t="n"/>
      <c r="B21" s="14" t="n"/>
      <c r="C21" s="14" t="n"/>
      <c r="D21" s="14" t="n"/>
      <c r="E21" s="14" t="n"/>
      <c r="F21" s="14" t="n"/>
      <c r="G21" s="18" t="n"/>
      <c r="H21" s="14" t="n"/>
      <c r="I21" s="14" t="n"/>
      <c r="J21" s="14" t="n"/>
      <c r="K21" s="14" t="n"/>
      <c r="L21" s="14" t="n"/>
      <c r="M21" s="14" t="n"/>
      <c r="N21" s="14" t="n"/>
    </row>
    <row r="22">
      <c r="A22" s="14" t="n"/>
      <c r="B22" s="14" t="n"/>
      <c r="C22" s="14" t="n"/>
      <c r="D22" s="14" t="n"/>
      <c r="E22" s="14" t="n"/>
      <c r="F22" s="14" t="n"/>
      <c r="G22" s="18" t="n"/>
      <c r="H22" s="14" t="n"/>
      <c r="I22" s="14" t="n"/>
      <c r="J22" s="14" t="n"/>
      <c r="K22" s="14" t="n"/>
      <c r="L22" s="14" t="n"/>
      <c r="M22" s="14" t="n"/>
      <c r="N22" s="14" t="n"/>
    </row>
    <row r="23">
      <c r="A23" s="14" t="n"/>
      <c r="B23" s="14" t="n"/>
      <c r="C23" s="14" t="n"/>
      <c r="D23" s="14" t="n"/>
      <c r="E23" s="14" t="n"/>
      <c r="F23" s="14" t="n"/>
      <c r="G23" s="18" t="n"/>
      <c r="H23" s="14" t="n"/>
      <c r="I23" s="14" t="n"/>
      <c r="J23" s="14" t="n"/>
      <c r="K23" s="14" t="n"/>
      <c r="L23" s="14" t="n"/>
      <c r="M23" s="14" t="n"/>
      <c r="N23" s="14" t="n"/>
    </row>
    <row r="24">
      <c r="A24" s="14" t="n"/>
      <c r="B24" s="14" t="n"/>
      <c r="C24" s="14" t="n"/>
      <c r="D24" s="14" t="n"/>
      <c r="E24" s="14" t="n"/>
      <c r="F24" s="14" t="n"/>
      <c r="G24" s="18" t="n"/>
      <c r="H24" s="14" t="n"/>
      <c r="I24" s="14" t="n"/>
      <c r="J24" s="14" t="n"/>
      <c r="K24" s="14" t="n"/>
      <c r="L24" s="14" t="n"/>
      <c r="M24" s="14" t="n"/>
      <c r="N24" s="14" t="n"/>
    </row>
    <row r="25">
      <c r="A25" s="14" t="n"/>
      <c r="B25" s="14" t="n"/>
      <c r="C25" s="14" t="n"/>
      <c r="D25" s="14" t="n"/>
      <c r="E25" s="14" t="n"/>
      <c r="F25" s="14" t="n"/>
      <c r="G25" s="18" t="n"/>
      <c r="H25" s="14" t="n"/>
      <c r="I25" s="14" t="n"/>
      <c r="J25" s="14" t="n"/>
      <c r="K25" s="14" t="n"/>
      <c r="L25" s="14" t="n"/>
      <c r="M25" s="14" t="n"/>
      <c r="N25" s="14" t="n"/>
    </row>
    <row r="26">
      <c r="A26" s="14" t="n"/>
      <c r="B26" s="14" t="n"/>
      <c r="C26" s="14" t="n"/>
      <c r="D26" s="14" t="n"/>
      <c r="E26" s="14" t="n"/>
      <c r="F26" s="14" t="n"/>
      <c r="G26" s="18" t="n"/>
      <c r="H26" s="14" t="n"/>
      <c r="I26" s="14" t="n"/>
      <c r="J26" s="14" t="n"/>
      <c r="K26" s="14" t="n"/>
      <c r="L26" s="14" t="n"/>
      <c r="M26" s="14" t="n"/>
      <c r="N26" s="14" t="n"/>
    </row>
    <row r="27">
      <c r="A27" s="14" t="n"/>
      <c r="B27" s="14" t="n"/>
      <c r="C27" s="14" t="n"/>
      <c r="D27" s="14" t="n"/>
      <c r="E27" s="14" t="n"/>
      <c r="F27" s="14" t="n"/>
      <c r="G27" s="18" t="n"/>
      <c r="H27" s="14" t="n"/>
      <c r="I27" s="14" t="n"/>
      <c r="J27" s="14" t="n"/>
      <c r="K27" s="14" t="n"/>
      <c r="L27" s="14" t="n"/>
      <c r="M27" s="14" t="n"/>
      <c r="N27" s="14" t="n"/>
    </row>
    <row r="28">
      <c r="A28" s="14" t="n"/>
      <c r="B28" s="14" t="n"/>
      <c r="C28" s="14" t="n"/>
      <c r="D28" s="14" t="n"/>
      <c r="E28" s="14" t="n"/>
      <c r="F28" s="14" t="n"/>
      <c r="G28" s="18" t="n"/>
      <c r="H28" s="14" t="n"/>
      <c r="I28" s="14" t="n"/>
      <c r="J28" s="14" t="n"/>
      <c r="K28" s="14" t="n"/>
      <c r="L28" s="14" t="n"/>
      <c r="M28" s="14" t="n"/>
      <c r="N28" s="14" t="n"/>
    </row>
    <row r="29">
      <c r="A29" s="14" t="n"/>
      <c r="B29" s="14" t="n"/>
      <c r="C29" s="14" t="n"/>
      <c r="D29" s="14" t="n"/>
      <c r="E29" s="14" t="n"/>
      <c r="F29" s="14" t="n"/>
      <c r="G29" s="18" t="n"/>
      <c r="H29" s="14" t="n"/>
      <c r="I29" s="14" t="n"/>
      <c r="J29" s="14" t="n"/>
      <c r="K29" s="14" t="n"/>
      <c r="L29" s="14" t="n"/>
      <c r="M29" s="14" t="n"/>
      <c r="N29" s="14" t="n"/>
    </row>
    <row r="30">
      <c r="A30" s="14" t="n"/>
      <c r="B30" s="14" t="n"/>
      <c r="C30" s="14" t="n"/>
      <c r="D30" s="14" t="n"/>
      <c r="E30" s="14" t="n"/>
      <c r="F30" s="14" t="n"/>
      <c r="G30" s="18" t="n"/>
      <c r="H30" s="14" t="n"/>
      <c r="I30" s="14" t="n"/>
      <c r="J30" s="14" t="n"/>
      <c r="K30" s="14" t="n"/>
      <c r="L30" s="14" t="n"/>
      <c r="M30" s="14" t="n"/>
      <c r="N30" s="14" t="n"/>
    </row>
    <row r="31">
      <c r="A31" s="14" t="n"/>
      <c r="B31" s="14" t="n"/>
      <c r="C31" s="14" t="n"/>
      <c r="D31" s="14" t="n"/>
      <c r="E31" s="14" t="n"/>
      <c r="F31" s="14" t="n"/>
      <c r="G31" s="18" t="n"/>
      <c r="H31" s="14" t="n"/>
      <c r="I31" s="14" t="n"/>
      <c r="J31" s="14" t="n"/>
      <c r="K31" s="14" t="n"/>
      <c r="L31" s="14" t="n"/>
      <c r="M31" s="14" t="n"/>
      <c r="N31" s="14" t="n"/>
    </row>
    <row r="32">
      <c r="A32" s="14" t="n"/>
      <c r="B32" s="14" t="n"/>
      <c r="C32" s="14" t="n"/>
      <c r="D32" s="14" t="n"/>
      <c r="E32" s="14" t="n"/>
      <c r="F32" s="14" t="n"/>
      <c r="G32" s="18" t="n"/>
      <c r="H32" s="14" t="n"/>
      <c r="I32" s="14" t="n"/>
      <c r="J32" s="14" t="n"/>
      <c r="K32" s="14" t="n"/>
      <c r="L32" s="14" t="n"/>
      <c r="M32" s="14" t="n"/>
      <c r="N32" s="14" t="n"/>
    </row>
    <row r="33">
      <c r="A33" s="14" t="n"/>
      <c r="B33" s="14" t="n"/>
      <c r="C33" s="14" t="n"/>
      <c r="D33" s="14" t="n"/>
      <c r="E33" s="14" t="n"/>
      <c r="F33" s="14" t="n"/>
      <c r="G33" s="18" t="n"/>
      <c r="H33" s="14" t="n"/>
      <c r="I33" s="14" t="n"/>
      <c r="J33" s="14" t="n"/>
      <c r="K33" s="14" t="n"/>
      <c r="L33" s="14" t="n"/>
      <c r="M33" s="14" t="n"/>
      <c r="N33" s="14" t="n"/>
    </row>
    <row r="34">
      <c r="A34" s="14" t="n"/>
      <c r="B34" s="14" t="n"/>
      <c r="C34" s="14" t="n"/>
      <c r="D34" s="14" t="n"/>
      <c r="E34" s="14" t="n"/>
      <c r="F34" s="14" t="n"/>
      <c r="G34" s="18" t="n"/>
      <c r="H34" s="14" t="n"/>
      <c r="I34" s="14" t="n"/>
      <c r="J34" s="14" t="n"/>
      <c r="K34" s="14" t="n"/>
      <c r="L34" s="14" t="n"/>
      <c r="M34" s="14" t="n"/>
      <c r="N34" s="14" t="n"/>
    </row>
  </sheetData>
  <autoFilter ref="A1:N34"/>
  <dataValidations count="3">
    <dataValidation sqref="F2:F34" showDropDown="0" showInputMessage="0" showErrorMessage="0" allowBlank="1" error="Use one of the named checks." type="list">
      <formula1>"arithmetic,direction,threshold,silence,driver,timing,contradiction,none"</formula1>
    </dataValidation>
    <dataValidation sqref="G2:G34" showDropDown="0" showInputMessage="0" showErrorMessage="0" allowBlank="1" error="Use pass, fail, review or info." type="list">
      <formula1>"pass,fail,review,info"</formula1>
    </dataValidation>
    <dataValidation sqref="K2:K34" showDropDown="0" showInputMessage="0" showErrorMessage="0" allowBlank="1" type="list">
      <formula1>"yes,no"</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2026-09-13T09:20:34Z</dcterms:created>
  <dcterms:modified xmlns:dcterms="http://purl.org/dc/terms/" xmlns:xsi="http://www.w3.org/2001/XMLSchema-instance" xsi:type="dcterms:W3CDTF">2026-09-13T09:20:34Z</dcterms:modified>
</cp:coreProperties>
</file>